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 201] Business Data Analysis\BUSI201-Workbooks\"/>
    </mc:Choice>
  </mc:AlternateContent>
  <xr:revisionPtr revIDLastSave="0" documentId="13_ncr:1_{9A2EF386-F1A9-4CD7-8A23-986DB549FB14}" xr6:coauthVersionLast="47" xr6:coauthVersionMax="47" xr10:uidLastSave="{00000000-0000-0000-0000-000000000000}"/>
  <bookViews>
    <workbookView xWindow="28680" yWindow="-120" windowWidth="29040" windowHeight="15720" activeTab="4" xr2:uid="{BF17DDDA-E86E-4F22-B5A6-A404B5E9B8D6}"/>
  </bookViews>
  <sheets>
    <sheet name="2022Q3Stock" sheetId="10" r:id="rId1"/>
    <sheet name="2022Q4Stock" sheetId="9" r:id="rId2"/>
    <sheet name="2023Q1Stock" sheetId="8" r:id="rId3"/>
    <sheet name="2023Q2Stock" sheetId="7" r:id="rId4"/>
    <sheet name="2023Q3Stock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0" l="1"/>
  <c r="H15" i="10"/>
  <c r="H14" i="10"/>
  <c r="H13" i="10"/>
  <c r="H12" i="10"/>
  <c r="H11" i="10"/>
  <c r="H10" i="10"/>
  <c r="H9" i="10"/>
  <c r="H8" i="10"/>
  <c r="H7" i="10"/>
  <c r="H6" i="10"/>
  <c r="H5" i="10"/>
  <c r="H16" i="9"/>
  <c r="H15" i="9"/>
  <c r="H14" i="9"/>
  <c r="H13" i="9"/>
  <c r="H12" i="9"/>
  <c r="H11" i="9"/>
  <c r="H10" i="9"/>
  <c r="H9" i="9"/>
  <c r="H8" i="9"/>
  <c r="H7" i="9"/>
  <c r="H6" i="9"/>
  <c r="H5" i="9"/>
  <c r="H16" i="8"/>
  <c r="H15" i="8"/>
  <c r="H14" i="8"/>
  <c r="H13" i="8"/>
  <c r="H12" i="8"/>
  <c r="H11" i="8"/>
  <c r="H10" i="8"/>
  <c r="H9" i="8"/>
  <c r="H8" i="8"/>
  <c r="H7" i="8"/>
  <c r="H6" i="8"/>
  <c r="H5" i="8"/>
  <c r="H16" i="7"/>
  <c r="H15" i="7"/>
  <c r="H14" i="7"/>
  <c r="H13" i="7"/>
  <c r="H12" i="7"/>
  <c r="H11" i="7"/>
  <c r="H10" i="7"/>
  <c r="H9" i="7"/>
  <c r="H8" i="7"/>
  <c r="H7" i="7"/>
  <c r="H6" i="7"/>
  <c r="H5" i="7"/>
  <c r="H5" i="6"/>
  <c r="H6" i="6"/>
  <c r="H7" i="6"/>
  <c r="H8" i="6"/>
  <c r="H9" i="6"/>
  <c r="H10" i="6"/>
  <c r="H11" i="6"/>
  <c r="H12" i="6"/>
  <c r="H13" i="6"/>
  <c r="H14" i="6"/>
  <c r="H15" i="6"/>
  <c r="H16" i="6"/>
  <c r="H18" i="6" s="1"/>
  <c r="H18" i="7" l="1"/>
  <c r="H18" i="8"/>
  <c r="H18" i="9"/>
  <c r="H18" i="10"/>
</calcChain>
</file>

<file path=xl/sharedStrings.xml><?xml version="1.0" encoding="utf-8"?>
<sst xmlns="http://schemas.openxmlformats.org/spreadsheetml/2006/main" count="285" uniqueCount="46">
  <si>
    <t>-</t>
  </si>
  <si>
    <t>Sum</t>
  </si>
  <si>
    <t>Stapler</t>
  </si>
  <si>
    <t>Office Supplies</t>
  </si>
  <si>
    <t>Amazon Basics</t>
  </si>
  <si>
    <t>4000 Sheets</t>
  </si>
  <si>
    <t>Multipurpose Copy Printer Paper</t>
  </si>
  <si>
    <t>12 Pack</t>
  </si>
  <si>
    <t>Scotch Magic Tape</t>
  </si>
  <si>
    <t>3M</t>
  </si>
  <si>
    <t>3x3 inch, 24 Pads</t>
  </si>
  <si>
    <t>Post-it Stikcy Notes</t>
  </si>
  <si>
    <t>120 Tissues, 8 Boxes</t>
  </si>
  <si>
    <t>Kleenex Ultra Soft Facial Tissues</t>
  </si>
  <si>
    <t>Sanitary</t>
  </si>
  <si>
    <t>Kimberly-Clark</t>
  </si>
  <si>
    <t>56 fl oz</t>
  </si>
  <si>
    <t>Liquid Hand Soap Refill</t>
  </si>
  <si>
    <t>24 Rolls</t>
  </si>
  <si>
    <t>Charmin Ultra Strong Clean Touch Toilet Paper</t>
  </si>
  <si>
    <t>P&amp;G</t>
  </si>
  <si>
    <t>8 fl oz, Pack of 4</t>
  </si>
  <si>
    <t>Purell Hand Sanitizer</t>
  </si>
  <si>
    <t>GOJO</t>
  </si>
  <si>
    <t>75 count, Pack of 3</t>
  </si>
  <si>
    <t>Disinfecting Wipes</t>
  </si>
  <si>
    <t>Clorox</t>
  </si>
  <si>
    <t>Dry Block Eraser</t>
  </si>
  <si>
    <t>Whiteboard</t>
  </si>
  <si>
    <t>Expo</t>
  </si>
  <si>
    <t>22 oz</t>
  </si>
  <si>
    <t>White Board Care Cleaning Spray</t>
  </si>
  <si>
    <t>36 Count</t>
  </si>
  <si>
    <t>Low Odor Dry Erase Markers</t>
  </si>
  <si>
    <t>Val</t>
  </si>
  <si>
    <t>Price</t>
  </si>
  <si>
    <t>Quantity</t>
  </si>
  <si>
    <t>Detail</t>
  </si>
  <si>
    <t>Item</t>
  </si>
  <si>
    <t>Type</t>
  </si>
  <si>
    <t>Make</t>
  </si>
  <si>
    <t>Items in Storage: 2023Q3</t>
  </si>
  <si>
    <t>Items in Storage: 2023Q2</t>
  </si>
  <si>
    <t>Items in Storage: 2022Q3</t>
  </si>
  <si>
    <t>Items in Storage: 2022Q4</t>
  </si>
  <si>
    <t>Items in Storage: 2023Q1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</si>
</sst>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8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8" fontId="3" fillId="2" borderId="1" xfId="0" applyNumberFormat="1" applyFont="1" applyFill="1" applyBorder="1"/>
    <xf numFmtId="0" fontId="3" fillId="2" borderId="1" xfId="0" applyFont="1" applyFill="1" applyBorder="1"/>
    <xf numFmtId="8" fontId="3" fillId="2" borderId="0" xfId="0" applyNumberFormat="1" applyFont="1" applyFill="1"/>
    <xf numFmtId="0" fontId="3" fillId="2" borderId="0" xfId="0" applyFont="1" applyFill="1"/>
    <xf numFmtId="0" fontId="1" fillId="3" borderId="0" xfId="0" applyFont="1" applyFill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5C71F-BC26-4AF9-A521-87E0310CFD8E}">
  <dimension ref="B2:H18"/>
  <sheetViews>
    <sheetView workbookViewId="0">
      <selection activeCell="D7" sqref="D7"/>
    </sheetView>
  </sheetViews>
  <sheetFormatPr defaultRowHeight="14.4" x14ac:dyDescent="0.3"/>
  <cols>
    <col min="1" max="1" width="5.77734375" style="1" customWidth="1"/>
    <col min="2" max="3" width="14.77734375" style="1" bestFit="1" customWidth="1"/>
    <col min="4" max="4" width="32.33203125" style="1" bestFit="1" customWidth="1"/>
    <col min="5" max="5" width="18.6640625" style="1" bestFit="1" customWidth="1"/>
    <col min="6" max="8" width="10.77734375" style="1" customWidth="1"/>
    <col min="9" max="16384" width="8.88671875" style="1"/>
  </cols>
  <sheetData>
    <row r="2" spans="2:8" ht="23.4" x14ac:dyDescent="0.3">
      <c r="B2" s="10" t="s">
        <v>43</v>
      </c>
      <c r="C2" s="10"/>
      <c r="D2" s="10"/>
      <c r="E2" s="10"/>
      <c r="F2" s="10"/>
      <c r="G2" s="10"/>
      <c r="H2" s="10"/>
    </row>
    <row r="4" spans="2:8" ht="15.6" x14ac:dyDescent="0.3">
      <c r="B4" s="9" t="s">
        <v>40</v>
      </c>
      <c r="C4" s="9" t="s">
        <v>39</v>
      </c>
      <c r="D4" s="9" t="s">
        <v>38</v>
      </c>
      <c r="E4" s="9" t="s">
        <v>37</v>
      </c>
      <c r="F4" s="8" t="s">
        <v>36</v>
      </c>
      <c r="G4" s="8" t="s">
        <v>35</v>
      </c>
      <c r="H4" s="8" t="s">
        <v>34</v>
      </c>
    </row>
    <row r="5" spans="2:8" ht="15.6" x14ac:dyDescent="0.3">
      <c r="B5" s="7" t="s">
        <v>29</v>
      </c>
      <c r="C5" s="7" t="s">
        <v>28</v>
      </c>
      <c r="D5" s="7" t="s">
        <v>33</v>
      </c>
      <c r="E5" s="7" t="s">
        <v>32</v>
      </c>
      <c r="F5" s="7">
        <v>20</v>
      </c>
      <c r="G5" s="6">
        <v>23.12</v>
      </c>
      <c r="H5" s="6">
        <f t="shared" ref="H5:H16" si="0">F5*G5</f>
        <v>462.40000000000003</v>
      </c>
    </row>
    <row r="6" spans="2:8" ht="15.6" x14ac:dyDescent="0.3">
      <c r="B6" s="7" t="s">
        <v>29</v>
      </c>
      <c r="C6" s="7" t="s">
        <v>28</v>
      </c>
      <c r="D6" s="7" t="s">
        <v>31</v>
      </c>
      <c r="E6" s="7" t="s">
        <v>30</v>
      </c>
      <c r="F6" s="7">
        <v>10</v>
      </c>
      <c r="G6" s="6">
        <v>16.989999999999998</v>
      </c>
      <c r="H6" s="6">
        <f t="shared" si="0"/>
        <v>169.89999999999998</v>
      </c>
    </row>
    <row r="7" spans="2:8" ht="15.6" x14ac:dyDescent="0.3">
      <c r="B7" s="7" t="s">
        <v>29</v>
      </c>
      <c r="C7" s="7" t="s">
        <v>28</v>
      </c>
      <c r="D7" s="7" t="s">
        <v>27</v>
      </c>
      <c r="E7" s="7" t="s">
        <v>0</v>
      </c>
      <c r="F7" s="7">
        <v>3</v>
      </c>
      <c r="G7" s="6">
        <v>5.09</v>
      </c>
      <c r="H7" s="6">
        <f t="shared" si="0"/>
        <v>15.27</v>
      </c>
    </row>
    <row r="8" spans="2:8" ht="15.6" x14ac:dyDescent="0.3">
      <c r="B8" s="7" t="s">
        <v>26</v>
      </c>
      <c r="C8" s="7" t="s">
        <v>14</v>
      </c>
      <c r="D8" s="7" t="s">
        <v>25</v>
      </c>
      <c r="E8" s="7" t="s">
        <v>24</v>
      </c>
      <c r="F8" s="7">
        <v>10</v>
      </c>
      <c r="G8" s="6">
        <v>13.05</v>
      </c>
      <c r="H8" s="6">
        <f t="shared" si="0"/>
        <v>130.5</v>
      </c>
    </row>
    <row r="9" spans="2:8" ht="15.6" x14ac:dyDescent="0.3">
      <c r="B9" s="7" t="s">
        <v>23</v>
      </c>
      <c r="C9" s="7" t="s">
        <v>14</v>
      </c>
      <c r="D9" s="7" t="s">
        <v>22</v>
      </c>
      <c r="E9" s="7" t="s">
        <v>21</v>
      </c>
      <c r="F9" s="7">
        <v>12</v>
      </c>
      <c r="G9" s="6">
        <v>18.260000000000002</v>
      </c>
      <c r="H9" s="6">
        <f t="shared" si="0"/>
        <v>219.12</v>
      </c>
    </row>
    <row r="10" spans="2:8" ht="15.6" x14ac:dyDescent="0.3">
      <c r="B10" s="7" t="s">
        <v>20</v>
      </c>
      <c r="C10" s="7" t="s">
        <v>14</v>
      </c>
      <c r="D10" s="7" t="s">
        <v>19</v>
      </c>
      <c r="E10" s="7" t="s">
        <v>18</v>
      </c>
      <c r="F10" s="7">
        <v>5</v>
      </c>
      <c r="G10" s="6">
        <v>32.99</v>
      </c>
      <c r="H10" s="6">
        <f t="shared" si="0"/>
        <v>164.95000000000002</v>
      </c>
    </row>
    <row r="11" spans="2:8" ht="15.6" x14ac:dyDescent="0.3">
      <c r="B11" s="7" t="s">
        <v>4</v>
      </c>
      <c r="C11" s="7" t="s">
        <v>14</v>
      </c>
      <c r="D11" s="7" t="s">
        <v>17</v>
      </c>
      <c r="E11" s="7" t="s">
        <v>16</v>
      </c>
      <c r="F11" s="7">
        <v>7</v>
      </c>
      <c r="G11" s="6">
        <v>5.4</v>
      </c>
      <c r="H11" s="6">
        <f t="shared" si="0"/>
        <v>37.800000000000004</v>
      </c>
    </row>
    <row r="12" spans="2:8" ht="15.6" x14ac:dyDescent="0.3">
      <c r="B12" s="7" t="s">
        <v>15</v>
      </c>
      <c r="C12" s="7" t="s">
        <v>14</v>
      </c>
      <c r="D12" s="7" t="s">
        <v>13</v>
      </c>
      <c r="E12" s="7" t="s">
        <v>12</v>
      </c>
      <c r="F12" s="7">
        <v>15</v>
      </c>
      <c r="G12" s="6">
        <v>19.010000000000002</v>
      </c>
      <c r="H12" s="6">
        <f t="shared" si="0"/>
        <v>285.15000000000003</v>
      </c>
    </row>
    <row r="13" spans="2:8" ht="15.6" x14ac:dyDescent="0.3">
      <c r="B13" s="7" t="s">
        <v>9</v>
      </c>
      <c r="C13" s="7" t="s">
        <v>3</v>
      </c>
      <c r="D13" s="7" t="s">
        <v>11</v>
      </c>
      <c r="E13" s="7" t="s">
        <v>10</v>
      </c>
      <c r="F13" s="7">
        <v>11</v>
      </c>
      <c r="G13" s="6">
        <v>16.48</v>
      </c>
      <c r="H13" s="6">
        <f t="shared" si="0"/>
        <v>181.28</v>
      </c>
    </row>
    <row r="14" spans="2:8" ht="15.6" x14ac:dyDescent="0.3">
      <c r="B14" s="7" t="s">
        <v>9</v>
      </c>
      <c r="C14" s="7" t="s">
        <v>3</v>
      </c>
      <c r="D14" s="7" t="s">
        <v>8</v>
      </c>
      <c r="E14" s="7" t="s">
        <v>7</v>
      </c>
      <c r="F14" s="7">
        <v>5</v>
      </c>
      <c r="G14" s="6">
        <v>25.99</v>
      </c>
      <c r="H14" s="6">
        <f t="shared" si="0"/>
        <v>129.94999999999999</v>
      </c>
    </row>
    <row r="15" spans="2:8" ht="15.6" x14ac:dyDescent="0.3">
      <c r="B15" s="7" t="s">
        <v>4</v>
      </c>
      <c r="C15" s="7" t="s">
        <v>3</v>
      </c>
      <c r="D15" s="7" t="s">
        <v>6</v>
      </c>
      <c r="E15" s="7" t="s">
        <v>5</v>
      </c>
      <c r="F15" s="7">
        <v>12</v>
      </c>
      <c r="G15" s="6">
        <v>40.119999999999997</v>
      </c>
      <c r="H15" s="6">
        <f t="shared" si="0"/>
        <v>481.43999999999994</v>
      </c>
    </row>
    <row r="16" spans="2:8" ht="15.6" x14ac:dyDescent="0.3">
      <c r="B16" s="5" t="s">
        <v>4</v>
      </c>
      <c r="C16" s="5" t="s">
        <v>3</v>
      </c>
      <c r="D16" s="5" t="s">
        <v>2</v>
      </c>
      <c r="E16" s="5" t="s">
        <v>0</v>
      </c>
      <c r="F16" s="5">
        <v>11</v>
      </c>
      <c r="G16" s="4">
        <v>10.199999999999999</v>
      </c>
      <c r="H16" s="4">
        <f t="shared" si="0"/>
        <v>112.19999999999999</v>
      </c>
    </row>
    <row r="18" spans="7:8" ht="15.6" x14ac:dyDescent="0.3">
      <c r="G18" s="3" t="s">
        <v>1</v>
      </c>
      <c r="H18" s="2">
        <f>SUM(H5:H16)</f>
        <v>2389.9599999999996</v>
      </c>
    </row>
  </sheetData>
  <mergeCells count="1"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D1130-92EF-462B-A3AD-790CB841806C}">
  <dimension ref="B2:H18"/>
  <sheetViews>
    <sheetView workbookViewId="0">
      <selection activeCell="B4" sqref="B4:H4"/>
    </sheetView>
  </sheetViews>
  <sheetFormatPr defaultRowHeight="14.4" x14ac:dyDescent="0.3"/>
  <cols>
    <col min="1" max="1" width="5.77734375" style="1" customWidth="1"/>
    <col min="2" max="3" width="14.77734375" style="1" bestFit="1" customWidth="1"/>
    <col min="4" max="4" width="32.33203125" style="1" bestFit="1" customWidth="1"/>
    <col min="5" max="5" width="18.6640625" style="1" bestFit="1" customWidth="1"/>
    <col min="6" max="8" width="10.77734375" style="1" customWidth="1"/>
    <col min="9" max="16384" width="8.88671875" style="1"/>
  </cols>
  <sheetData>
    <row r="2" spans="2:8" ht="23.4" x14ac:dyDescent="0.3">
      <c r="B2" s="10" t="s">
        <v>44</v>
      </c>
      <c r="C2" s="10"/>
      <c r="D2" s="10"/>
      <c r="E2" s="10"/>
      <c r="F2" s="10"/>
      <c r="G2" s="10"/>
      <c r="H2" s="10"/>
    </row>
    <row r="4" spans="2:8" ht="15.6" x14ac:dyDescent="0.3">
      <c r="B4" s="9" t="s">
        <v>40</v>
      </c>
      <c r="C4" s="9" t="s">
        <v>39</v>
      </c>
      <c r="D4" s="9" t="s">
        <v>38</v>
      </c>
      <c r="E4" s="9" t="s">
        <v>37</v>
      </c>
      <c r="F4" s="8" t="s">
        <v>36</v>
      </c>
      <c r="G4" s="8" t="s">
        <v>35</v>
      </c>
      <c r="H4" s="8" t="s">
        <v>34</v>
      </c>
    </row>
    <row r="5" spans="2:8" ht="15.6" x14ac:dyDescent="0.3">
      <c r="B5" s="7" t="s">
        <v>29</v>
      </c>
      <c r="C5" s="7" t="s">
        <v>28</v>
      </c>
      <c r="D5" s="7" t="s">
        <v>33</v>
      </c>
      <c r="E5" s="7" t="s">
        <v>32</v>
      </c>
      <c r="F5" s="7">
        <v>22</v>
      </c>
      <c r="G5" s="6">
        <v>25.99</v>
      </c>
      <c r="H5" s="6">
        <f t="shared" ref="H5:H16" si="0">F5*G5</f>
        <v>571.78</v>
      </c>
    </row>
    <row r="6" spans="2:8" ht="15.6" x14ac:dyDescent="0.3">
      <c r="B6" s="7" t="s">
        <v>29</v>
      </c>
      <c r="C6" s="7" t="s">
        <v>28</v>
      </c>
      <c r="D6" s="7" t="s">
        <v>31</v>
      </c>
      <c r="E6" s="7" t="s">
        <v>30</v>
      </c>
      <c r="F6" s="7">
        <v>17</v>
      </c>
      <c r="G6" s="6">
        <v>16.98</v>
      </c>
      <c r="H6" s="6">
        <f t="shared" si="0"/>
        <v>288.66000000000003</v>
      </c>
    </row>
    <row r="7" spans="2:8" ht="15.6" x14ac:dyDescent="0.3">
      <c r="B7" s="7" t="s">
        <v>29</v>
      </c>
      <c r="C7" s="7" t="s">
        <v>28</v>
      </c>
      <c r="D7" s="7" t="s">
        <v>27</v>
      </c>
      <c r="E7" s="7" t="s">
        <v>0</v>
      </c>
      <c r="F7" s="7">
        <v>20</v>
      </c>
      <c r="G7" s="6">
        <v>7</v>
      </c>
      <c r="H7" s="6">
        <f t="shared" si="0"/>
        <v>140</v>
      </c>
    </row>
    <row r="8" spans="2:8" ht="15.6" x14ac:dyDescent="0.3">
      <c r="B8" s="7" t="s">
        <v>26</v>
      </c>
      <c r="C8" s="7" t="s">
        <v>14</v>
      </c>
      <c r="D8" s="7" t="s">
        <v>25</v>
      </c>
      <c r="E8" s="7" t="s">
        <v>24</v>
      </c>
      <c r="F8" s="7">
        <v>15</v>
      </c>
      <c r="G8" s="6">
        <v>13</v>
      </c>
      <c r="H8" s="6">
        <f t="shared" si="0"/>
        <v>195</v>
      </c>
    </row>
    <row r="9" spans="2:8" ht="15.6" x14ac:dyDescent="0.3">
      <c r="B9" s="7" t="s">
        <v>23</v>
      </c>
      <c r="C9" s="7" t="s">
        <v>14</v>
      </c>
      <c r="D9" s="7" t="s">
        <v>22</v>
      </c>
      <c r="E9" s="7" t="s">
        <v>21</v>
      </c>
      <c r="F9" s="7">
        <v>13</v>
      </c>
      <c r="G9" s="6">
        <v>18.559999999999999</v>
      </c>
      <c r="H9" s="6">
        <f t="shared" si="0"/>
        <v>241.27999999999997</v>
      </c>
    </row>
    <row r="10" spans="2:8" ht="15.6" x14ac:dyDescent="0.3">
      <c r="B10" s="7" t="s">
        <v>20</v>
      </c>
      <c r="C10" s="7" t="s">
        <v>14</v>
      </c>
      <c r="D10" s="7" t="s">
        <v>19</v>
      </c>
      <c r="E10" s="7" t="s">
        <v>18</v>
      </c>
      <c r="F10" s="7">
        <v>19</v>
      </c>
      <c r="G10" s="6">
        <v>26.99</v>
      </c>
      <c r="H10" s="6">
        <f t="shared" si="0"/>
        <v>512.80999999999995</v>
      </c>
    </row>
    <row r="11" spans="2:8" ht="15.6" x14ac:dyDescent="0.3">
      <c r="B11" s="7" t="s">
        <v>4</v>
      </c>
      <c r="C11" s="7" t="s">
        <v>14</v>
      </c>
      <c r="D11" s="7" t="s">
        <v>17</v>
      </c>
      <c r="E11" s="7" t="s">
        <v>16</v>
      </c>
      <c r="F11" s="7">
        <v>3</v>
      </c>
      <c r="G11" s="6">
        <v>6.84</v>
      </c>
      <c r="H11" s="6">
        <f t="shared" si="0"/>
        <v>20.52</v>
      </c>
    </row>
    <row r="12" spans="2:8" ht="15.6" x14ac:dyDescent="0.3">
      <c r="B12" s="7" t="s">
        <v>15</v>
      </c>
      <c r="C12" s="7" t="s">
        <v>14</v>
      </c>
      <c r="D12" s="7" t="s">
        <v>13</v>
      </c>
      <c r="E12" s="7" t="s">
        <v>12</v>
      </c>
      <c r="F12" s="7">
        <v>4</v>
      </c>
      <c r="G12" s="6">
        <v>13.74</v>
      </c>
      <c r="H12" s="6">
        <f t="shared" si="0"/>
        <v>54.96</v>
      </c>
    </row>
    <row r="13" spans="2:8" ht="15.6" x14ac:dyDescent="0.3">
      <c r="B13" s="7" t="s">
        <v>9</v>
      </c>
      <c r="C13" s="7" t="s">
        <v>3</v>
      </c>
      <c r="D13" s="7" t="s">
        <v>11</v>
      </c>
      <c r="E13" s="7" t="s">
        <v>10</v>
      </c>
      <c r="F13" s="7">
        <v>11</v>
      </c>
      <c r="G13" s="6">
        <v>20.59</v>
      </c>
      <c r="H13" s="6">
        <f t="shared" si="0"/>
        <v>226.49</v>
      </c>
    </row>
    <row r="14" spans="2:8" ht="15.6" x14ac:dyDescent="0.3">
      <c r="B14" s="7" t="s">
        <v>9</v>
      </c>
      <c r="C14" s="7" t="s">
        <v>3</v>
      </c>
      <c r="D14" s="7" t="s">
        <v>8</v>
      </c>
      <c r="E14" s="7" t="s">
        <v>7</v>
      </c>
      <c r="F14" s="7">
        <v>5</v>
      </c>
      <c r="G14" s="6">
        <v>24.49</v>
      </c>
      <c r="H14" s="6">
        <f t="shared" si="0"/>
        <v>122.44999999999999</v>
      </c>
    </row>
    <row r="15" spans="2:8" ht="15.6" x14ac:dyDescent="0.3">
      <c r="B15" s="7" t="s">
        <v>4</v>
      </c>
      <c r="C15" s="7" t="s">
        <v>3</v>
      </c>
      <c r="D15" s="7" t="s">
        <v>6</v>
      </c>
      <c r="E15" s="7" t="s">
        <v>5</v>
      </c>
      <c r="F15" s="7">
        <v>16</v>
      </c>
      <c r="G15" s="6">
        <v>36.9</v>
      </c>
      <c r="H15" s="6">
        <f t="shared" si="0"/>
        <v>590.4</v>
      </c>
    </row>
    <row r="16" spans="2:8" ht="15.6" x14ac:dyDescent="0.3">
      <c r="B16" s="5" t="s">
        <v>4</v>
      </c>
      <c r="C16" s="5" t="s">
        <v>3</v>
      </c>
      <c r="D16" s="5" t="s">
        <v>2</v>
      </c>
      <c r="E16" s="5" t="s">
        <v>0</v>
      </c>
      <c r="F16" s="5">
        <v>11</v>
      </c>
      <c r="G16" s="4">
        <v>9.02</v>
      </c>
      <c r="H16" s="4">
        <f t="shared" si="0"/>
        <v>99.22</v>
      </c>
    </row>
    <row r="18" spans="7:8" ht="15.6" x14ac:dyDescent="0.3">
      <c r="G18" s="3" t="s">
        <v>1</v>
      </c>
      <c r="H18" s="2">
        <f>SUM(H5:H16)</f>
        <v>3063.5699999999997</v>
      </c>
    </row>
  </sheetData>
  <mergeCells count="1"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ADFC-936F-4EB7-8801-909646478DB2}">
  <dimension ref="B2:H18"/>
  <sheetViews>
    <sheetView workbookViewId="0">
      <selection activeCell="G14" sqref="G14"/>
    </sheetView>
  </sheetViews>
  <sheetFormatPr defaultRowHeight="14.4" x14ac:dyDescent="0.3"/>
  <cols>
    <col min="1" max="1" width="5.77734375" style="1" customWidth="1"/>
    <col min="2" max="3" width="14.77734375" style="1" bestFit="1" customWidth="1"/>
    <col min="4" max="4" width="32.33203125" style="1" bestFit="1" customWidth="1"/>
    <col min="5" max="5" width="18.6640625" style="1" bestFit="1" customWidth="1"/>
    <col min="6" max="8" width="10.77734375" style="1" customWidth="1"/>
    <col min="9" max="16384" width="8.88671875" style="1"/>
  </cols>
  <sheetData>
    <row r="2" spans="2:8" ht="23.4" x14ac:dyDescent="0.3">
      <c r="B2" s="10" t="s">
        <v>45</v>
      </c>
      <c r="C2" s="10"/>
      <c r="D2" s="10"/>
      <c r="E2" s="10"/>
      <c r="F2" s="10"/>
      <c r="G2" s="10"/>
      <c r="H2" s="10"/>
    </row>
    <row r="4" spans="2:8" ht="15.6" x14ac:dyDescent="0.3">
      <c r="B4" s="9" t="s">
        <v>40</v>
      </c>
      <c r="C4" s="9" t="s">
        <v>39</v>
      </c>
      <c r="D4" s="9" t="s">
        <v>38</v>
      </c>
      <c r="E4" s="9" t="s">
        <v>37</v>
      </c>
      <c r="F4" s="8" t="s">
        <v>36</v>
      </c>
      <c r="G4" s="8" t="s">
        <v>35</v>
      </c>
      <c r="H4" s="8" t="s">
        <v>34</v>
      </c>
    </row>
    <row r="5" spans="2:8" ht="15.6" x14ac:dyDescent="0.3">
      <c r="B5" s="7" t="s">
        <v>29</v>
      </c>
      <c r="C5" s="7" t="s">
        <v>28</v>
      </c>
      <c r="D5" s="7" t="s">
        <v>33</v>
      </c>
      <c r="E5" s="7" t="s">
        <v>32</v>
      </c>
      <c r="F5" s="7">
        <v>23</v>
      </c>
      <c r="G5" s="6">
        <v>24</v>
      </c>
      <c r="H5" s="6">
        <f t="shared" ref="H5:H16" si="0">F5*G5</f>
        <v>552</v>
      </c>
    </row>
    <row r="6" spans="2:8" ht="15.6" x14ac:dyDescent="0.3">
      <c r="B6" s="7" t="s">
        <v>29</v>
      </c>
      <c r="C6" s="7" t="s">
        <v>28</v>
      </c>
      <c r="D6" s="7" t="s">
        <v>31</v>
      </c>
      <c r="E6" s="7" t="s">
        <v>30</v>
      </c>
      <c r="F6" s="7">
        <v>14</v>
      </c>
      <c r="G6" s="6">
        <v>17.989999999999998</v>
      </c>
      <c r="H6" s="6">
        <f t="shared" si="0"/>
        <v>251.85999999999999</v>
      </c>
    </row>
    <row r="7" spans="2:8" ht="15.6" x14ac:dyDescent="0.3">
      <c r="B7" s="7" t="s">
        <v>29</v>
      </c>
      <c r="C7" s="7" t="s">
        <v>28</v>
      </c>
      <c r="D7" s="7" t="s">
        <v>27</v>
      </c>
      <c r="E7" s="7" t="s">
        <v>0</v>
      </c>
      <c r="F7" s="7">
        <v>46</v>
      </c>
      <c r="G7" s="6">
        <v>6.97</v>
      </c>
      <c r="H7" s="6">
        <f t="shared" si="0"/>
        <v>320.62</v>
      </c>
    </row>
    <row r="8" spans="2:8" ht="15.6" x14ac:dyDescent="0.3">
      <c r="B8" s="7" t="s">
        <v>26</v>
      </c>
      <c r="C8" s="7" t="s">
        <v>14</v>
      </c>
      <c r="D8" s="7" t="s">
        <v>25</v>
      </c>
      <c r="E8" s="7" t="s">
        <v>24</v>
      </c>
      <c r="F8" s="7">
        <v>9</v>
      </c>
      <c r="G8" s="6">
        <v>13.74</v>
      </c>
      <c r="H8" s="6">
        <f t="shared" si="0"/>
        <v>123.66</v>
      </c>
    </row>
    <row r="9" spans="2:8" ht="15.6" x14ac:dyDescent="0.3">
      <c r="B9" s="7" t="s">
        <v>23</v>
      </c>
      <c r="C9" s="7" t="s">
        <v>14</v>
      </c>
      <c r="D9" s="7" t="s">
        <v>22</v>
      </c>
      <c r="E9" s="7" t="s">
        <v>21</v>
      </c>
      <c r="F9" s="7">
        <v>7</v>
      </c>
      <c r="G9" s="6">
        <v>15.67</v>
      </c>
      <c r="H9" s="6">
        <f t="shared" si="0"/>
        <v>109.69</v>
      </c>
    </row>
    <row r="10" spans="2:8" ht="15.6" x14ac:dyDescent="0.3">
      <c r="B10" s="7" t="s">
        <v>20</v>
      </c>
      <c r="C10" s="7" t="s">
        <v>14</v>
      </c>
      <c r="D10" s="7" t="s">
        <v>19</v>
      </c>
      <c r="E10" s="7" t="s">
        <v>18</v>
      </c>
      <c r="F10" s="7">
        <v>6</v>
      </c>
      <c r="G10" s="6">
        <v>33.72</v>
      </c>
      <c r="H10" s="6">
        <f t="shared" si="0"/>
        <v>202.32</v>
      </c>
    </row>
    <row r="11" spans="2:8" ht="15.6" x14ac:dyDescent="0.3">
      <c r="B11" s="7" t="s">
        <v>4</v>
      </c>
      <c r="C11" s="7" t="s">
        <v>14</v>
      </c>
      <c r="D11" s="7" t="s">
        <v>17</v>
      </c>
      <c r="E11" s="7" t="s">
        <v>16</v>
      </c>
      <c r="F11" s="7">
        <v>5</v>
      </c>
      <c r="G11" s="6">
        <v>5.36</v>
      </c>
      <c r="H11" s="6">
        <f t="shared" si="0"/>
        <v>26.8</v>
      </c>
    </row>
    <row r="12" spans="2:8" ht="15.6" x14ac:dyDescent="0.3">
      <c r="B12" s="7" t="s">
        <v>15</v>
      </c>
      <c r="C12" s="7" t="s">
        <v>14</v>
      </c>
      <c r="D12" s="7" t="s">
        <v>13</v>
      </c>
      <c r="E12" s="7" t="s">
        <v>12</v>
      </c>
      <c r="F12" s="7">
        <v>17</v>
      </c>
      <c r="G12" s="6">
        <v>17.190000000000001</v>
      </c>
      <c r="H12" s="6">
        <f t="shared" si="0"/>
        <v>292.23</v>
      </c>
    </row>
    <row r="13" spans="2:8" ht="15.6" x14ac:dyDescent="0.3">
      <c r="B13" s="7" t="s">
        <v>9</v>
      </c>
      <c r="C13" s="7" t="s">
        <v>3</v>
      </c>
      <c r="D13" s="7" t="s">
        <v>11</v>
      </c>
      <c r="E13" s="7" t="s">
        <v>10</v>
      </c>
      <c r="F13" s="7">
        <v>14</v>
      </c>
      <c r="G13" s="6">
        <v>21.99</v>
      </c>
      <c r="H13" s="6">
        <f t="shared" si="0"/>
        <v>307.85999999999996</v>
      </c>
    </row>
    <row r="14" spans="2:8" ht="15.6" x14ac:dyDescent="0.3">
      <c r="B14" s="7" t="s">
        <v>9</v>
      </c>
      <c r="C14" s="7" t="s">
        <v>3</v>
      </c>
      <c r="D14" s="7" t="s">
        <v>8</v>
      </c>
      <c r="E14" s="7" t="s">
        <v>7</v>
      </c>
      <c r="F14" s="7">
        <v>13</v>
      </c>
      <c r="G14" s="6">
        <v>24.49</v>
      </c>
      <c r="H14" s="6">
        <f t="shared" si="0"/>
        <v>318.37</v>
      </c>
    </row>
    <row r="15" spans="2:8" ht="15.6" x14ac:dyDescent="0.3">
      <c r="B15" s="7" t="s">
        <v>4</v>
      </c>
      <c r="C15" s="7" t="s">
        <v>3</v>
      </c>
      <c r="D15" s="7" t="s">
        <v>6</v>
      </c>
      <c r="E15" s="7" t="s">
        <v>5</v>
      </c>
      <c r="F15" s="7">
        <v>41</v>
      </c>
      <c r="G15" s="6">
        <v>39.99</v>
      </c>
      <c r="H15" s="6">
        <f t="shared" si="0"/>
        <v>1639.5900000000001</v>
      </c>
    </row>
    <row r="16" spans="2:8" ht="15.6" x14ac:dyDescent="0.3">
      <c r="B16" s="5" t="s">
        <v>4</v>
      </c>
      <c r="C16" s="5" t="s">
        <v>3</v>
      </c>
      <c r="D16" s="5" t="s">
        <v>2</v>
      </c>
      <c r="E16" s="5" t="s">
        <v>0</v>
      </c>
      <c r="F16" s="5">
        <v>11</v>
      </c>
      <c r="G16" s="4">
        <v>9.02</v>
      </c>
      <c r="H16" s="4">
        <f t="shared" si="0"/>
        <v>99.22</v>
      </c>
    </row>
    <row r="18" spans="7:8" ht="15.6" x14ac:dyDescent="0.3">
      <c r="G18" s="3" t="s">
        <v>1</v>
      </c>
      <c r="H18" s="2">
        <f>SUM(H5:H16)</f>
        <v>4244.22</v>
      </c>
    </row>
  </sheetData>
  <mergeCells count="1">
    <mergeCell ref="B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6C78F-87BA-4C7F-8D62-B7E4236C2193}">
  <dimension ref="B2:H18"/>
  <sheetViews>
    <sheetView workbookViewId="0">
      <selection activeCell="B4" sqref="B4"/>
    </sheetView>
  </sheetViews>
  <sheetFormatPr defaultRowHeight="14.4" x14ac:dyDescent="0.3"/>
  <cols>
    <col min="1" max="1" width="5.77734375" style="1" customWidth="1"/>
    <col min="2" max="3" width="14.77734375" style="1" bestFit="1" customWidth="1"/>
    <col min="4" max="4" width="32.33203125" style="1" bestFit="1" customWidth="1"/>
    <col min="5" max="5" width="18.6640625" style="1" bestFit="1" customWidth="1"/>
    <col min="6" max="8" width="10.77734375" style="1" customWidth="1"/>
    <col min="9" max="16384" width="8.88671875" style="1"/>
  </cols>
  <sheetData>
    <row r="2" spans="2:8" ht="23.4" x14ac:dyDescent="0.3">
      <c r="B2" s="10" t="s">
        <v>42</v>
      </c>
      <c r="C2" s="10"/>
      <c r="D2" s="10"/>
      <c r="E2" s="10"/>
      <c r="F2" s="10"/>
      <c r="G2" s="10"/>
      <c r="H2" s="10"/>
    </row>
    <row r="4" spans="2:8" ht="15.6" x14ac:dyDescent="0.3">
      <c r="B4" s="9" t="s">
        <v>40</v>
      </c>
      <c r="C4" s="9" t="s">
        <v>39</v>
      </c>
      <c r="D4" s="9" t="s">
        <v>38</v>
      </c>
      <c r="E4" s="9" t="s">
        <v>37</v>
      </c>
      <c r="F4" s="8" t="s">
        <v>36</v>
      </c>
      <c r="G4" s="8" t="s">
        <v>35</v>
      </c>
      <c r="H4" s="8" t="s">
        <v>34</v>
      </c>
    </row>
    <row r="5" spans="2:8" ht="15.6" x14ac:dyDescent="0.3">
      <c r="B5" s="7" t="s">
        <v>29</v>
      </c>
      <c r="C5" s="7" t="s">
        <v>28</v>
      </c>
      <c r="D5" s="7" t="s">
        <v>33</v>
      </c>
      <c r="E5" s="7" t="s">
        <v>32</v>
      </c>
      <c r="F5" s="7">
        <v>23</v>
      </c>
      <c r="G5" s="6">
        <v>23.12</v>
      </c>
      <c r="H5" s="6">
        <f t="shared" ref="H5:H16" si="0">F5*G5</f>
        <v>531.76</v>
      </c>
    </row>
    <row r="6" spans="2:8" ht="15.6" x14ac:dyDescent="0.3">
      <c r="B6" s="7" t="s">
        <v>29</v>
      </c>
      <c r="C6" s="7" t="s">
        <v>28</v>
      </c>
      <c r="D6" s="7" t="s">
        <v>31</v>
      </c>
      <c r="E6" s="7" t="s">
        <v>30</v>
      </c>
      <c r="F6" s="7">
        <v>17</v>
      </c>
      <c r="G6" s="6">
        <v>16.78</v>
      </c>
      <c r="H6" s="6">
        <f t="shared" si="0"/>
        <v>285.26</v>
      </c>
    </row>
    <row r="7" spans="2:8" ht="15.6" x14ac:dyDescent="0.3">
      <c r="B7" s="7" t="s">
        <v>29</v>
      </c>
      <c r="C7" s="7" t="s">
        <v>28</v>
      </c>
      <c r="D7" s="7" t="s">
        <v>27</v>
      </c>
      <c r="E7" s="7" t="s">
        <v>0</v>
      </c>
      <c r="F7" s="7">
        <v>59</v>
      </c>
      <c r="G7" s="6">
        <v>5.23</v>
      </c>
      <c r="H7" s="6">
        <f t="shared" si="0"/>
        <v>308.57000000000005</v>
      </c>
    </row>
    <row r="8" spans="2:8" ht="15.6" x14ac:dyDescent="0.3">
      <c r="B8" s="7" t="s">
        <v>26</v>
      </c>
      <c r="C8" s="7" t="s">
        <v>14</v>
      </c>
      <c r="D8" s="7" t="s">
        <v>25</v>
      </c>
      <c r="E8" s="7" t="s">
        <v>24</v>
      </c>
      <c r="F8" s="7">
        <v>8</v>
      </c>
      <c r="G8" s="6">
        <v>13.99</v>
      </c>
      <c r="H8" s="6">
        <f t="shared" si="0"/>
        <v>111.92</v>
      </c>
    </row>
    <row r="9" spans="2:8" ht="15.6" x14ac:dyDescent="0.3">
      <c r="B9" s="7" t="s">
        <v>23</v>
      </c>
      <c r="C9" s="7" t="s">
        <v>14</v>
      </c>
      <c r="D9" s="7" t="s">
        <v>22</v>
      </c>
      <c r="E9" s="7" t="s">
        <v>21</v>
      </c>
      <c r="F9" s="7">
        <v>8</v>
      </c>
      <c r="G9" s="6">
        <v>22.73</v>
      </c>
      <c r="H9" s="6">
        <f t="shared" si="0"/>
        <v>181.84</v>
      </c>
    </row>
    <row r="10" spans="2:8" ht="15.6" x14ac:dyDescent="0.3">
      <c r="B10" s="7" t="s">
        <v>20</v>
      </c>
      <c r="C10" s="7" t="s">
        <v>14</v>
      </c>
      <c r="D10" s="7" t="s">
        <v>19</v>
      </c>
      <c r="E10" s="7" t="s">
        <v>18</v>
      </c>
      <c r="F10" s="7">
        <v>4</v>
      </c>
      <c r="G10" s="6">
        <v>32.14</v>
      </c>
      <c r="H10" s="6">
        <f t="shared" si="0"/>
        <v>128.56</v>
      </c>
    </row>
    <row r="11" spans="2:8" ht="15.6" x14ac:dyDescent="0.3">
      <c r="B11" s="7" t="s">
        <v>4</v>
      </c>
      <c r="C11" s="7" t="s">
        <v>14</v>
      </c>
      <c r="D11" s="7" t="s">
        <v>17</v>
      </c>
      <c r="E11" s="7" t="s">
        <v>16</v>
      </c>
      <c r="F11" s="7">
        <v>9</v>
      </c>
      <c r="G11" s="6">
        <v>6.74</v>
      </c>
      <c r="H11" s="6">
        <f t="shared" si="0"/>
        <v>60.660000000000004</v>
      </c>
    </row>
    <row r="12" spans="2:8" ht="15.6" x14ac:dyDescent="0.3">
      <c r="B12" s="7" t="s">
        <v>15</v>
      </c>
      <c r="C12" s="7" t="s">
        <v>14</v>
      </c>
      <c r="D12" s="7" t="s">
        <v>13</v>
      </c>
      <c r="E12" s="7" t="s">
        <v>12</v>
      </c>
      <c r="F12" s="7">
        <v>3</v>
      </c>
      <c r="G12" s="6">
        <v>12.99</v>
      </c>
      <c r="H12" s="6">
        <f t="shared" si="0"/>
        <v>38.97</v>
      </c>
    </row>
    <row r="13" spans="2:8" ht="15.6" x14ac:dyDescent="0.3">
      <c r="B13" s="7" t="s">
        <v>9</v>
      </c>
      <c r="C13" s="7" t="s">
        <v>3</v>
      </c>
      <c r="D13" s="7" t="s">
        <v>11</v>
      </c>
      <c r="E13" s="7" t="s">
        <v>10</v>
      </c>
      <c r="F13" s="7">
        <v>12</v>
      </c>
      <c r="G13" s="6">
        <v>20.59</v>
      </c>
      <c r="H13" s="6">
        <f t="shared" si="0"/>
        <v>247.07999999999998</v>
      </c>
    </row>
    <row r="14" spans="2:8" ht="15.6" x14ac:dyDescent="0.3">
      <c r="B14" s="7" t="s">
        <v>9</v>
      </c>
      <c r="C14" s="7" t="s">
        <v>3</v>
      </c>
      <c r="D14" s="7" t="s">
        <v>8</v>
      </c>
      <c r="E14" s="7" t="s">
        <v>7</v>
      </c>
      <c r="F14" s="7">
        <v>7</v>
      </c>
      <c r="G14" s="6">
        <v>24.49</v>
      </c>
      <c r="H14" s="6">
        <f t="shared" si="0"/>
        <v>171.42999999999998</v>
      </c>
    </row>
    <row r="15" spans="2:8" ht="15.6" x14ac:dyDescent="0.3">
      <c r="B15" s="7" t="s">
        <v>4</v>
      </c>
      <c r="C15" s="7" t="s">
        <v>3</v>
      </c>
      <c r="D15" s="7" t="s">
        <v>6</v>
      </c>
      <c r="E15" s="7" t="s">
        <v>5</v>
      </c>
      <c r="F15" s="7">
        <v>34</v>
      </c>
      <c r="G15" s="6">
        <v>30.16</v>
      </c>
      <c r="H15" s="6">
        <f t="shared" si="0"/>
        <v>1025.44</v>
      </c>
    </row>
    <row r="16" spans="2:8" ht="15.6" x14ac:dyDescent="0.3">
      <c r="B16" s="5" t="s">
        <v>4</v>
      </c>
      <c r="C16" s="5" t="s">
        <v>3</v>
      </c>
      <c r="D16" s="5" t="s">
        <v>2</v>
      </c>
      <c r="E16" s="5" t="s">
        <v>0</v>
      </c>
      <c r="F16" s="5">
        <v>10</v>
      </c>
      <c r="G16" s="4">
        <v>9.02</v>
      </c>
      <c r="H16" s="4">
        <f t="shared" si="0"/>
        <v>90.199999999999989</v>
      </c>
    </row>
    <row r="18" spans="7:8" ht="15.6" x14ac:dyDescent="0.3">
      <c r="G18" s="3" t="s">
        <v>1</v>
      </c>
      <c r="H18" s="2">
        <f>SUM(H5:H16)</f>
        <v>3181.69</v>
      </c>
    </row>
  </sheetData>
  <mergeCells count="1">
    <mergeCell ref="B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74A6-EF7F-4252-9DAC-FC5F039505D4}">
  <dimension ref="B2:H18"/>
  <sheetViews>
    <sheetView tabSelected="1" workbookViewId="0">
      <selection activeCell="L14" sqref="L14"/>
    </sheetView>
  </sheetViews>
  <sheetFormatPr defaultRowHeight="14.4" x14ac:dyDescent="0.3"/>
  <cols>
    <col min="1" max="1" width="5.77734375" style="1" customWidth="1"/>
    <col min="2" max="3" width="14.77734375" style="1" bestFit="1" customWidth="1"/>
    <col min="4" max="4" width="32.33203125" style="1" bestFit="1" customWidth="1"/>
    <col min="5" max="5" width="18.6640625" style="1" bestFit="1" customWidth="1"/>
    <col min="6" max="8" width="10.77734375" style="1" customWidth="1"/>
    <col min="9" max="16384" width="8.88671875" style="1"/>
  </cols>
  <sheetData>
    <row r="2" spans="2:8" ht="23.4" x14ac:dyDescent="0.3">
      <c r="B2" s="10" t="s">
        <v>41</v>
      </c>
      <c r="C2" s="10"/>
      <c r="D2" s="10"/>
      <c r="E2" s="10"/>
      <c r="F2" s="10"/>
      <c r="G2" s="10"/>
      <c r="H2" s="10"/>
    </row>
    <row r="4" spans="2:8" ht="15.6" x14ac:dyDescent="0.3">
      <c r="B4" s="9" t="s">
        <v>40</v>
      </c>
      <c r="C4" s="9" t="s">
        <v>39</v>
      </c>
      <c r="D4" s="9" t="s">
        <v>38</v>
      </c>
      <c r="E4" s="9" t="s">
        <v>37</v>
      </c>
      <c r="F4" s="8" t="s">
        <v>36</v>
      </c>
      <c r="G4" s="8" t="s">
        <v>35</v>
      </c>
      <c r="H4" s="8" t="s">
        <v>34</v>
      </c>
    </row>
    <row r="5" spans="2:8" ht="15.6" x14ac:dyDescent="0.3">
      <c r="B5" s="7" t="s">
        <v>29</v>
      </c>
      <c r="C5" s="7" t="s">
        <v>28</v>
      </c>
      <c r="D5" s="7" t="s">
        <v>33</v>
      </c>
      <c r="E5" s="7" t="s">
        <v>32</v>
      </c>
      <c r="F5" s="7">
        <v>22</v>
      </c>
      <c r="G5" s="6">
        <v>23.12</v>
      </c>
      <c r="H5" s="6">
        <f t="shared" ref="H5:H16" si="0">F5*G5</f>
        <v>508.64000000000004</v>
      </c>
    </row>
    <row r="6" spans="2:8" ht="15.6" x14ac:dyDescent="0.3">
      <c r="B6" s="7" t="s">
        <v>29</v>
      </c>
      <c r="C6" s="7" t="s">
        <v>28</v>
      </c>
      <c r="D6" s="7" t="s">
        <v>31</v>
      </c>
      <c r="E6" s="7" t="s">
        <v>30</v>
      </c>
      <c r="F6" s="7">
        <v>17</v>
      </c>
      <c r="G6" s="6">
        <v>16.78</v>
      </c>
      <c r="H6" s="6">
        <f t="shared" si="0"/>
        <v>285.26</v>
      </c>
    </row>
    <row r="7" spans="2:8" ht="15.6" x14ac:dyDescent="0.3">
      <c r="B7" s="7" t="s">
        <v>29</v>
      </c>
      <c r="C7" s="7" t="s">
        <v>28</v>
      </c>
      <c r="D7" s="7" t="s">
        <v>27</v>
      </c>
      <c r="E7" s="7" t="s">
        <v>0</v>
      </c>
      <c r="F7" s="7">
        <v>59</v>
      </c>
      <c r="G7" s="6">
        <v>5.23</v>
      </c>
      <c r="H7" s="6">
        <f t="shared" si="0"/>
        <v>308.57000000000005</v>
      </c>
    </row>
    <row r="8" spans="2:8" ht="15.6" x14ac:dyDescent="0.3">
      <c r="B8" s="7" t="s">
        <v>26</v>
      </c>
      <c r="C8" s="7" t="s">
        <v>14</v>
      </c>
      <c r="D8" s="7" t="s">
        <v>25</v>
      </c>
      <c r="E8" s="7" t="s">
        <v>24</v>
      </c>
      <c r="F8" s="7">
        <v>8</v>
      </c>
      <c r="G8" s="6">
        <v>12.78</v>
      </c>
      <c r="H8" s="6">
        <f t="shared" si="0"/>
        <v>102.24</v>
      </c>
    </row>
    <row r="9" spans="2:8" ht="15.6" x14ac:dyDescent="0.3">
      <c r="B9" s="7" t="s">
        <v>23</v>
      </c>
      <c r="C9" s="7" t="s">
        <v>14</v>
      </c>
      <c r="D9" s="7" t="s">
        <v>22</v>
      </c>
      <c r="E9" s="7" t="s">
        <v>21</v>
      </c>
      <c r="F9" s="7">
        <v>8</v>
      </c>
      <c r="G9" s="6">
        <v>19.989999999999998</v>
      </c>
      <c r="H9" s="6">
        <f t="shared" si="0"/>
        <v>159.91999999999999</v>
      </c>
    </row>
    <row r="10" spans="2:8" ht="15.6" x14ac:dyDescent="0.3">
      <c r="B10" s="7" t="s">
        <v>20</v>
      </c>
      <c r="C10" s="7" t="s">
        <v>14</v>
      </c>
      <c r="D10" s="7" t="s">
        <v>19</v>
      </c>
      <c r="E10" s="7" t="s">
        <v>18</v>
      </c>
      <c r="F10" s="7">
        <v>4</v>
      </c>
      <c r="G10" s="6">
        <v>33.72</v>
      </c>
      <c r="H10" s="6">
        <f t="shared" si="0"/>
        <v>134.88</v>
      </c>
    </row>
    <row r="11" spans="2:8" ht="15.6" x14ac:dyDescent="0.3">
      <c r="B11" s="7" t="s">
        <v>4</v>
      </c>
      <c r="C11" s="7" t="s">
        <v>14</v>
      </c>
      <c r="D11" s="7" t="s">
        <v>17</v>
      </c>
      <c r="E11" s="7" t="s">
        <v>16</v>
      </c>
      <c r="F11" s="7">
        <v>9</v>
      </c>
      <c r="G11" s="6">
        <v>5.36</v>
      </c>
      <c r="H11" s="6">
        <f t="shared" si="0"/>
        <v>48.24</v>
      </c>
    </row>
    <row r="12" spans="2:8" ht="15.6" x14ac:dyDescent="0.3">
      <c r="B12" s="7" t="s">
        <v>15</v>
      </c>
      <c r="C12" s="7" t="s">
        <v>14</v>
      </c>
      <c r="D12" s="7" t="s">
        <v>13</v>
      </c>
      <c r="E12" s="7" t="s">
        <v>12</v>
      </c>
      <c r="F12" s="7">
        <v>3</v>
      </c>
      <c r="G12" s="6">
        <v>17.190000000000001</v>
      </c>
      <c r="H12" s="6">
        <f t="shared" si="0"/>
        <v>51.570000000000007</v>
      </c>
    </row>
    <row r="13" spans="2:8" ht="15.6" x14ac:dyDescent="0.3">
      <c r="B13" s="7" t="s">
        <v>9</v>
      </c>
      <c r="C13" s="7" t="s">
        <v>3</v>
      </c>
      <c r="D13" s="7" t="s">
        <v>11</v>
      </c>
      <c r="E13" s="7" t="s">
        <v>10</v>
      </c>
      <c r="F13" s="7">
        <v>12</v>
      </c>
      <c r="G13" s="6">
        <v>20.59</v>
      </c>
      <c r="H13" s="6">
        <f t="shared" si="0"/>
        <v>247.07999999999998</v>
      </c>
    </row>
    <row r="14" spans="2:8" ht="15.6" x14ac:dyDescent="0.3">
      <c r="B14" s="7" t="s">
        <v>9</v>
      </c>
      <c r="C14" s="7" t="s">
        <v>3</v>
      </c>
      <c r="D14" s="7" t="s">
        <v>8</v>
      </c>
      <c r="E14" s="7" t="s">
        <v>7</v>
      </c>
      <c r="F14" s="7">
        <v>7</v>
      </c>
      <c r="G14" s="6">
        <v>24.49</v>
      </c>
      <c r="H14" s="6">
        <f t="shared" si="0"/>
        <v>171.42999999999998</v>
      </c>
    </row>
    <row r="15" spans="2:8" ht="15.6" x14ac:dyDescent="0.3">
      <c r="B15" s="7" t="s">
        <v>4</v>
      </c>
      <c r="C15" s="7" t="s">
        <v>3</v>
      </c>
      <c r="D15" s="7" t="s">
        <v>6</v>
      </c>
      <c r="E15" s="7" t="s">
        <v>5</v>
      </c>
      <c r="F15" s="7">
        <v>34</v>
      </c>
      <c r="G15" s="6">
        <v>39.99</v>
      </c>
      <c r="H15" s="6">
        <f t="shared" si="0"/>
        <v>1359.66</v>
      </c>
    </row>
    <row r="16" spans="2:8" ht="15.6" x14ac:dyDescent="0.3">
      <c r="B16" s="5" t="s">
        <v>4</v>
      </c>
      <c r="C16" s="5" t="s">
        <v>3</v>
      </c>
      <c r="D16" s="5" t="s">
        <v>2</v>
      </c>
      <c r="E16" s="5" t="s">
        <v>0</v>
      </c>
      <c r="F16" s="5">
        <v>10</v>
      </c>
      <c r="G16" s="4">
        <v>9.02</v>
      </c>
      <c r="H16" s="4">
        <f t="shared" si="0"/>
        <v>90.199999999999989</v>
      </c>
    </row>
    <row r="18" spans="7:8" ht="15.6" x14ac:dyDescent="0.3">
      <c r="G18" s="3" t="s">
        <v>1</v>
      </c>
      <c r="H18" s="2">
        <f>SUM(H5:H16)</f>
        <v>3467.69</v>
      </c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2022Q3Stock</vt:lpstr>
      <vt:lpstr>2022Q4Stock</vt:lpstr>
      <vt:lpstr>2023Q1Stock</vt:lpstr>
      <vt:lpstr>2023Q2Stock</vt:lpstr>
      <vt:lpstr>2023Q3Stock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2023-08-21T19:54:17Z</dcterms:created>
  <dcterms:modified xsi:type="dcterms:W3CDTF">2023-08-28T07:19:01Z</dcterms:modified>
</cp:coreProperties>
</file>