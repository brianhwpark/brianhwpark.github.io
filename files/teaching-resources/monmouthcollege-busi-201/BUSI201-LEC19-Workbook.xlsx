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an\Dropbox\Teaching\Monmouth College\[BUSI201] Business Data Analysis\BUSI201-F2023\BUSI201-F2023-Workbooks\"/>
    </mc:Choice>
  </mc:AlternateContent>
  <xr:revisionPtr revIDLastSave="0" documentId="13_ncr:1_{97FCD057-10EA-44E7-91E0-F40AE918DA1D}" xr6:coauthVersionLast="47" xr6:coauthVersionMax="47" xr10:uidLastSave="{00000000-0000-0000-0000-000000000000}"/>
  <bookViews>
    <workbookView xWindow="-28920" yWindow="-120" windowWidth="29040" windowHeight="15720" activeTab="1" xr2:uid="{E0370A53-E83C-44B1-80DC-D3572B94AFF1}"/>
  </bookViews>
  <sheets>
    <sheet name="WHAT-IF" sheetId="51" r:id="rId1"/>
    <sheet name="LOAN" sheetId="53" r:id="rId2"/>
  </sheets>
  <definedNames>
    <definedName name="Cost">'WHAT-IF'!$C$9</definedName>
    <definedName name="Price">'WHAT-IF'!$C$3</definedName>
    <definedName name="Profit">'WHAT-IF'!$C$10</definedName>
    <definedName name="Quantity">'WHAT-IF'!$C$5</definedName>
    <definedName name="Revenue">'WHAT-IF'!$C$6</definedName>
    <definedName name="VAT">'WHAT-IF'!$C$4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53" l="1"/>
  <c r="C7" i="51"/>
  <c r="C8" i="51"/>
  <c r="C6" i="51"/>
  <c r="C9" i="51" l="1"/>
  <c r="C10" i="51" l="1"/>
</calcChain>
</file>

<file path=xl/sharedStrings.xml><?xml version="1.0" encoding="utf-8"?>
<sst xmlns="http://schemas.openxmlformats.org/spreadsheetml/2006/main" count="14" uniqueCount="14">
  <si>
    <t>Quantity</t>
  </si>
  <si>
    <t>Profit</t>
  </si>
  <si>
    <t>Production Cost</t>
  </si>
  <si>
    <t>Marketing Cost</t>
  </si>
  <si>
    <t>Total Revenue</t>
  </si>
  <si>
    <t>Unit Price</t>
  </si>
  <si>
    <t>Total Cost</t>
  </si>
  <si>
    <t>Revenue, Cost, and Profit</t>
  </si>
  <si>
    <t>VAT</t>
  </si>
  <si>
    <t>APR</t>
  </si>
  <si>
    <t>Monthly Payment</t>
  </si>
  <si>
    <t>Principal</t>
  </si>
  <si>
    <t>Term (Months)</t>
  </si>
  <si>
    <t>Monthly Payment Calculator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</si>
</sst>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5">
    <font>
      <sz val="11"/>
      <color theme="1"/>
      <name val="Calibri"/>
      <family val="2"/>
      <scheme val="minor"/>
    </font>
    <font>
      <sz val="11"/>
      <color theme="1"/>
      <name val="맑은 고딕"/>
      <family val="2"/>
      <charset val="129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0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44" fontId="0" fillId="2" borderId="2" xfId="3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9" fontId="0" fillId="2" borderId="3" xfId="5" applyFont="1" applyFill="1" applyBorder="1" applyAlignment="1">
      <alignment horizontal="center" vertical="center"/>
    </xf>
    <xf numFmtId="164" fontId="0" fillId="2" borderId="3" xfId="4" applyNumberFormat="1" applyFont="1" applyFill="1" applyBorder="1" applyAlignment="1">
      <alignment horizontal="center" vertical="center"/>
    </xf>
    <xf numFmtId="44" fontId="0" fillId="2" borderId="3" xfId="3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4" fontId="0" fillId="2" borderId="4" xfId="3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4" fontId="0" fillId="2" borderId="0" xfId="3" applyFont="1" applyFill="1" applyAlignment="1">
      <alignment horizontal="center" vertical="center"/>
    </xf>
    <xf numFmtId="0" fontId="0" fillId="2" borderId="0" xfId="0" applyFill="1" applyAlignment="1">
      <alignment vertical="distributed" textRotation="90"/>
    </xf>
    <xf numFmtId="9" fontId="4" fillId="2" borderId="0" xfId="5" applyFont="1" applyFill="1" applyAlignment="1">
      <alignment horizontal="center" vertical="center"/>
    </xf>
    <xf numFmtId="9" fontId="0" fillId="2" borderId="0" xfId="5" quotePrefix="1" applyFont="1" applyFill="1" applyAlignment="1">
      <alignment horizontal="center" vertical="center"/>
    </xf>
    <xf numFmtId="9" fontId="0" fillId="2" borderId="0" xfId="5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10" fontId="0" fillId="2" borderId="3" xfId="0" applyNumberFormat="1" applyFill="1" applyBorder="1" applyAlignment="1">
      <alignment horizontal="center" vertical="center"/>
    </xf>
    <xf numFmtId="8" fontId="0" fillId="2" borderId="4" xfId="0" applyNumberFormat="1" applyFill="1" applyBorder="1" applyAlignment="1">
      <alignment horizontal="center" vertical="center"/>
    </xf>
  </cellXfs>
  <cellStyles count="6">
    <cellStyle name="Comma" xfId="4" builtinId="3"/>
    <cellStyle name="Currency" xfId="3" builtinId="4"/>
    <cellStyle name="Normal" xfId="0" builtinId="0"/>
    <cellStyle name="Normal 2" xfId="1" xr:uid="{C6AA37D6-AE0A-44C2-80B5-D8B2FF2EDFAC}"/>
    <cellStyle name="Percent" xfId="5" builtinId="5"/>
    <cellStyle name="Percent 2" xfId="2" xr:uid="{0E5A9441-5C63-41C7-8D35-3730826B0A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DC795-C1CF-4381-B7B9-113F14F3FBAA}">
  <dimension ref="B1:J1001"/>
  <sheetViews>
    <sheetView zoomScaleNormal="100" workbookViewId="0"/>
  </sheetViews>
  <sheetFormatPr defaultColWidth="8.90625" defaultRowHeight="14.5"/>
  <cols>
    <col min="1" max="1" width="3.54296875" style="1" customWidth="1"/>
    <col min="2" max="2" width="14.453125" style="1" bestFit="1" customWidth="1"/>
    <col min="3" max="3" width="16.1796875" style="1" customWidth="1"/>
    <col min="4" max="5" width="3.36328125" style="1" customWidth="1"/>
    <col min="6" max="6" width="15.6328125" style="1" customWidth="1"/>
    <col min="7" max="10" width="13.6328125" style="1" customWidth="1"/>
    <col min="11" max="16384" width="8.90625" style="1"/>
  </cols>
  <sheetData>
    <row r="1" spans="2:10">
      <c r="G1" s="17"/>
      <c r="H1" s="17"/>
      <c r="I1" s="17"/>
      <c r="J1" s="17"/>
    </row>
    <row r="2" spans="2:10" ht="20" customHeight="1" thickBot="1">
      <c r="B2" s="11" t="s">
        <v>7</v>
      </c>
      <c r="C2" s="11"/>
      <c r="F2" s="12"/>
      <c r="G2" s="14"/>
      <c r="H2" s="15"/>
      <c r="I2" s="16"/>
      <c r="J2" s="16"/>
    </row>
    <row r="3" spans="2:10" ht="20" customHeight="1" thickTop="1">
      <c r="B3" s="2" t="s">
        <v>5</v>
      </c>
      <c r="C3" s="3">
        <v>200</v>
      </c>
      <c r="D3" s="10"/>
      <c r="E3" s="13"/>
      <c r="G3" s="12"/>
      <c r="H3" s="12"/>
      <c r="I3" s="12"/>
      <c r="J3" s="12"/>
    </row>
    <row r="4" spans="2:10" ht="20" customHeight="1">
      <c r="B4" s="4" t="s">
        <v>8</v>
      </c>
      <c r="C4" s="5">
        <v>0.08</v>
      </c>
      <c r="D4" s="10"/>
      <c r="E4" s="13"/>
      <c r="G4" s="12"/>
      <c r="H4" s="12"/>
      <c r="I4" s="12"/>
      <c r="J4" s="12"/>
    </row>
    <row r="5" spans="2:10" ht="20" customHeight="1">
      <c r="B5" s="4" t="s">
        <v>0</v>
      </c>
      <c r="C5" s="6">
        <v>1500</v>
      </c>
      <c r="D5" s="10"/>
      <c r="E5" s="13"/>
      <c r="G5" s="12"/>
      <c r="H5" s="12"/>
      <c r="I5" s="12"/>
      <c r="J5" s="12"/>
    </row>
    <row r="6" spans="2:10" ht="20" customHeight="1">
      <c r="B6" s="4" t="s">
        <v>4</v>
      </c>
      <c r="C6" s="7">
        <f>$C$3*(1-$C$4)*$C$5</f>
        <v>276000</v>
      </c>
      <c r="D6" s="10"/>
      <c r="E6" s="13"/>
      <c r="G6" s="12"/>
      <c r="H6" s="12"/>
      <c r="I6" s="12"/>
      <c r="J6" s="12"/>
    </row>
    <row r="7" spans="2:10" ht="20" customHeight="1">
      <c r="B7" s="4" t="s">
        <v>2</v>
      </c>
      <c r="C7" s="7">
        <f>IF($C$5&lt;=1500,150+150*$C$5-0.1*$C$5^2,$C$5*100)</f>
        <v>150</v>
      </c>
      <c r="D7" s="10"/>
      <c r="E7" s="13"/>
      <c r="G7" s="12"/>
      <c r="H7" s="12"/>
      <c r="I7" s="12"/>
      <c r="J7" s="12"/>
    </row>
    <row r="8" spans="2:10" ht="20" customHeight="1">
      <c r="B8" s="4" t="s">
        <v>3</v>
      </c>
      <c r="C8" s="7">
        <f>IF($C$5&gt;1000,50000,IF($C$5&lt;=1000,25000,0))</f>
        <v>50000</v>
      </c>
      <c r="D8" s="10"/>
      <c r="E8" s="13"/>
      <c r="G8" s="12"/>
      <c r="H8" s="12"/>
      <c r="I8" s="12"/>
      <c r="J8" s="12"/>
    </row>
    <row r="9" spans="2:10" ht="20" customHeight="1">
      <c r="B9" s="4" t="s">
        <v>6</v>
      </c>
      <c r="C9" s="7">
        <f>$C$7+$C$8</f>
        <v>50150</v>
      </c>
      <c r="D9" s="10"/>
      <c r="E9" s="13"/>
      <c r="G9" s="12"/>
      <c r="H9" s="12"/>
      <c r="I9" s="12"/>
      <c r="J9" s="12"/>
    </row>
    <row r="10" spans="2:10" ht="20" customHeight="1">
      <c r="B10" s="8" t="s">
        <v>1</v>
      </c>
      <c r="C10" s="9">
        <f>$C$6-$C$9</f>
        <v>225850</v>
      </c>
      <c r="D10" s="10"/>
      <c r="E10" s="13"/>
      <c r="G10" s="12"/>
      <c r="H10" s="12"/>
      <c r="I10" s="12"/>
      <c r="J10" s="12"/>
    </row>
    <row r="11" spans="2:10" ht="20" customHeight="1"/>
    <row r="12" spans="2:10" ht="20" customHeight="1"/>
    <row r="13" spans="2:10" ht="20" customHeight="1"/>
    <row r="14" spans="2:10" ht="20" customHeight="1"/>
    <row r="15" spans="2:10" ht="20" customHeight="1"/>
    <row r="16" spans="2:10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  <row r="139" ht="20" customHeight="1"/>
    <row r="140" ht="20" customHeight="1"/>
    <row r="141" ht="20" customHeight="1"/>
    <row r="142" ht="20" customHeight="1"/>
    <row r="143" ht="20" customHeight="1"/>
    <row r="144" ht="20" customHeight="1"/>
    <row r="145" ht="20" customHeight="1"/>
    <row r="146" ht="20" customHeight="1"/>
    <row r="147" ht="20" customHeight="1"/>
    <row r="148" ht="20" customHeight="1"/>
    <row r="149" ht="20" customHeight="1"/>
    <row r="150" ht="20" customHeight="1"/>
    <row r="151" ht="20" customHeight="1"/>
    <row r="152" ht="20" customHeight="1"/>
    <row r="153" ht="20" customHeight="1"/>
    <row r="154" ht="20" customHeight="1"/>
    <row r="155" ht="20" customHeight="1"/>
    <row r="156" ht="20" customHeight="1"/>
    <row r="157" ht="20" customHeight="1"/>
    <row r="158" ht="20" customHeight="1"/>
    <row r="159" ht="20" customHeight="1"/>
    <row r="160" ht="20" customHeight="1"/>
    <row r="161" ht="20" customHeight="1"/>
    <row r="162" ht="20" customHeight="1"/>
    <row r="163" ht="20" customHeight="1"/>
    <row r="164" ht="20" customHeight="1"/>
    <row r="165" ht="20" customHeight="1"/>
    <row r="166" ht="20" customHeight="1"/>
    <row r="167" ht="20" customHeight="1"/>
    <row r="168" ht="20" customHeight="1"/>
    <row r="169" ht="20" customHeight="1"/>
    <row r="170" ht="20" customHeight="1"/>
    <row r="171" ht="20" customHeight="1"/>
    <row r="172" ht="20" customHeight="1"/>
    <row r="173" ht="20" customHeight="1"/>
    <row r="174" ht="20" customHeight="1"/>
    <row r="175" ht="20" customHeight="1"/>
    <row r="176" ht="20" customHeight="1"/>
    <row r="177" ht="20" customHeight="1"/>
    <row r="178" ht="20" customHeight="1"/>
    <row r="179" ht="20" customHeight="1"/>
    <row r="180" ht="20" customHeight="1"/>
    <row r="181" ht="20" customHeight="1"/>
    <row r="182" ht="20" customHeight="1"/>
    <row r="183" ht="20" customHeight="1"/>
    <row r="184" ht="20" customHeight="1"/>
    <row r="185" ht="20" customHeight="1"/>
    <row r="186" ht="20" customHeight="1"/>
    <row r="187" ht="20" customHeight="1"/>
    <row r="188" ht="20" customHeight="1"/>
    <row r="189" ht="20" customHeight="1"/>
    <row r="190" ht="20" customHeight="1"/>
    <row r="191" ht="20" customHeight="1"/>
    <row r="192" ht="20" customHeight="1"/>
    <row r="193" ht="20" customHeight="1"/>
    <row r="194" ht="20" customHeight="1"/>
    <row r="195" ht="20" customHeight="1"/>
    <row r="196" ht="20" customHeight="1"/>
    <row r="197" ht="20" customHeight="1"/>
    <row r="198" ht="20" customHeight="1"/>
    <row r="199" ht="20" customHeight="1"/>
    <row r="200" ht="20" customHeight="1"/>
    <row r="201" ht="20" customHeight="1"/>
    <row r="202" ht="20" customHeight="1"/>
    <row r="203" ht="20" customHeight="1"/>
    <row r="204" ht="20" customHeight="1"/>
    <row r="205" ht="20" customHeight="1"/>
    <row r="206" ht="20" customHeight="1"/>
    <row r="207" ht="20" customHeight="1"/>
    <row r="208" ht="20" customHeight="1"/>
    <row r="209" ht="20" customHeight="1"/>
    <row r="210" ht="20" customHeight="1"/>
    <row r="211" ht="20" customHeight="1"/>
    <row r="212" ht="20" customHeight="1"/>
    <row r="213" ht="20" customHeight="1"/>
    <row r="214" ht="20" customHeight="1"/>
    <row r="215" ht="20" customHeight="1"/>
    <row r="216" ht="20" customHeight="1"/>
    <row r="217" ht="20" customHeight="1"/>
    <row r="218" ht="20" customHeight="1"/>
    <row r="219" ht="20" customHeight="1"/>
    <row r="220" ht="20" customHeight="1"/>
    <row r="221" ht="20" customHeight="1"/>
    <row r="222" ht="20" customHeight="1"/>
    <row r="223" ht="20" customHeight="1"/>
    <row r="224" ht="20" customHeight="1"/>
    <row r="225" ht="20" customHeight="1"/>
    <row r="226" ht="20" customHeight="1"/>
    <row r="227" ht="20" customHeight="1"/>
    <row r="228" ht="20" customHeight="1"/>
    <row r="229" ht="20" customHeight="1"/>
    <row r="230" ht="20" customHeight="1"/>
    <row r="231" ht="20" customHeight="1"/>
    <row r="232" ht="20" customHeight="1"/>
    <row r="233" ht="20" customHeight="1"/>
    <row r="234" ht="20" customHeight="1"/>
    <row r="235" ht="20" customHeight="1"/>
    <row r="236" ht="20" customHeight="1"/>
    <row r="237" ht="20" customHeight="1"/>
    <row r="238" ht="20" customHeight="1"/>
    <row r="239" ht="20" customHeight="1"/>
    <row r="240" ht="20" customHeight="1"/>
    <row r="241" ht="20" customHeight="1"/>
    <row r="242" ht="20" customHeight="1"/>
    <row r="243" ht="20" customHeight="1"/>
    <row r="244" ht="20" customHeight="1"/>
    <row r="245" ht="20" customHeight="1"/>
    <row r="246" ht="20" customHeight="1"/>
    <row r="247" ht="20" customHeight="1"/>
    <row r="248" ht="20" customHeight="1"/>
    <row r="249" ht="20" customHeight="1"/>
    <row r="250" ht="20" customHeight="1"/>
    <row r="251" ht="20" customHeight="1"/>
    <row r="252" ht="20" customHeight="1"/>
    <row r="253" ht="20" customHeight="1"/>
    <row r="254" ht="20" customHeight="1"/>
    <row r="255" ht="20" customHeight="1"/>
    <row r="256" ht="20" customHeight="1"/>
    <row r="257" ht="20" customHeight="1"/>
    <row r="258" ht="20" customHeight="1"/>
    <row r="259" ht="20" customHeight="1"/>
    <row r="260" ht="20" customHeight="1"/>
    <row r="261" ht="20" customHeight="1"/>
    <row r="262" ht="20" customHeight="1"/>
    <row r="263" ht="20" customHeight="1"/>
    <row r="264" ht="20" customHeight="1"/>
    <row r="265" ht="20" customHeight="1"/>
    <row r="266" ht="20" customHeight="1"/>
    <row r="267" ht="20" customHeight="1"/>
    <row r="268" ht="20" customHeight="1"/>
    <row r="269" ht="20" customHeight="1"/>
    <row r="270" ht="20" customHeight="1"/>
    <row r="271" ht="20" customHeight="1"/>
    <row r="272" ht="20" customHeight="1"/>
    <row r="273" ht="20" customHeight="1"/>
    <row r="274" ht="20" customHeight="1"/>
    <row r="275" ht="20" customHeight="1"/>
    <row r="276" ht="20" customHeight="1"/>
    <row r="277" ht="20" customHeight="1"/>
    <row r="278" ht="20" customHeight="1"/>
    <row r="279" ht="20" customHeight="1"/>
    <row r="280" ht="20" customHeight="1"/>
    <row r="281" ht="20" customHeight="1"/>
    <row r="282" ht="20" customHeight="1"/>
    <row r="283" ht="20" customHeight="1"/>
    <row r="284" ht="20" customHeight="1"/>
    <row r="285" ht="20" customHeight="1"/>
    <row r="286" ht="20" customHeight="1"/>
    <row r="287" ht="20" customHeight="1"/>
    <row r="288" ht="20" customHeight="1"/>
    <row r="289" ht="20" customHeight="1"/>
    <row r="290" ht="20" customHeight="1"/>
    <row r="291" ht="20" customHeight="1"/>
    <row r="292" ht="20" customHeight="1"/>
    <row r="293" ht="20" customHeight="1"/>
    <row r="294" ht="20" customHeight="1"/>
    <row r="295" ht="20" customHeight="1"/>
    <row r="296" ht="20" customHeight="1"/>
    <row r="297" ht="20" customHeight="1"/>
    <row r="298" ht="20" customHeight="1"/>
    <row r="299" ht="20" customHeight="1"/>
    <row r="300" ht="20" customHeight="1"/>
    <row r="301" ht="20" customHeight="1"/>
    <row r="302" ht="20" customHeight="1"/>
    <row r="303" ht="20" customHeight="1"/>
    <row r="304" ht="20" customHeight="1"/>
    <row r="305" ht="20" customHeight="1"/>
    <row r="306" ht="20" customHeight="1"/>
    <row r="307" ht="20" customHeight="1"/>
    <row r="308" ht="20" customHeight="1"/>
    <row r="309" ht="20" customHeight="1"/>
    <row r="310" ht="20" customHeight="1"/>
    <row r="311" ht="20" customHeight="1"/>
    <row r="312" ht="20" customHeight="1"/>
    <row r="313" ht="20" customHeight="1"/>
    <row r="314" ht="20" customHeight="1"/>
    <row r="315" ht="20" customHeight="1"/>
    <row r="316" ht="20" customHeight="1"/>
    <row r="317" ht="20" customHeight="1"/>
    <row r="318" ht="20" customHeight="1"/>
    <row r="319" ht="20" customHeight="1"/>
    <row r="320" ht="20" customHeight="1"/>
    <row r="321" ht="20" customHeight="1"/>
    <row r="322" ht="20" customHeight="1"/>
    <row r="323" ht="20" customHeight="1"/>
    <row r="324" ht="20" customHeight="1"/>
    <row r="325" ht="20" customHeight="1"/>
    <row r="326" ht="20" customHeight="1"/>
    <row r="327" ht="20" customHeight="1"/>
    <row r="328" ht="20" customHeight="1"/>
    <row r="329" ht="20" customHeight="1"/>
    <row r="330" ht="20" customHeight="1"/>
    <row r="331" ht="20" customHeight="1"/>
    <row r="332" ht="20" customHeight="1"/>
    <row r="333" ht="20" customHeight="1"/>
    <row r="334" ht="20" customHeight="1"/>
    <row r="335" ht="20" customHeight="1"/>
    <row r="336" ht="20" customHeight="1"/>
    <row r="337" ht="20" customHeight="1"/>
    <row r="338" ht="20" customHeight="1"/>
    <row r="339" ht="20" customHeight="1"/>
    <row r="340" ht="20" customHeight="1"/>
    <row r="341" ht="20" customHeight="1"/>
    <row r="342" ht="20" customHeight="1"/>
    <row r="343" ht="20" customHeight="1"/>
    <row r="344" ht="20" customHeight="1"/>
    <row r="345" ht="20" customHeight="1"/>
    <row r="346" ht="20" customHeight="1"/>
    <row r="347" ht="20" customHeight="1"/>
    <row r="348" ht="20" customHeight="1"/>
    <row r="349" ht="20" customHeight="1"/>
    <row r="350" ht="20" customHeight="1"/>
    <row r="351" ht="20" customHeight="1"/>
    <row r="352" ht="20" customHeight="1"/>
    <row r="353" ht="20" customHeight="1"/>
    <row r="354" ht="20" customHeight="1"/>
    <row r="355" ht="20" customHeight="1"/>
    <row r="356" ht="20" customHeight="1"/>
    <row r="357" ht="20" customHeight="1"/>
    <row r="358" ht="20" customHeight="1"/>
    <row r="359" ht="20" customHeight="1"/>
    <row r="360" ht="20" customHeight="1"/>
    <row r="361" ht="20" customHeight="1"/>
    <row r="362" ht="20" customHeight="1"/>
    <row r="363" ht="20" customHeight="1"/>
    <row r="364" ht="20" customHeight="1"/>
    <row r="365" ht="20" customHeight="1"/>
    <row r="366" ht="20" customHeight="1"/>
    <row r="367" ht="20" customHeight="1"/>
    <row r="368" ht="20" customHeight="1"/>
    <row r="369" ht="20" customHeight="1"/>
    <row r="370" ht="20" customHeight="1"/>
    <row r="371" ht="20" customHeight="1"/>
    <row r="372" ht="20" customHeight="1"/>
    <row r="373" ht="20" customHeight="1"/>
    <row r="374" ht="20" customHeight="1"/>
    <row r="375" ht="20" customHeight="1"/>
    <row r="376" ht="20" customHeight="1"/>
    <row r="377" ht="20" customHeight="1"/>
    <row r="378" ht="20" customHeight="1"/>
    <row r="379" ht="20" customHeight="1"/>
    <row r="380" ht="20" customHeight="1"/>
    <row r="381" ht="20" customHeight="1"/>
    <row r="382" ht="20" customHeight="1"/>
    <row r="383" ht="20" customHeight="1"/>
    <row r="384" ht="20" customHeight="1"/>
    <row r="385" ht="20" customHeight="1"/>
    <row r="386" ht="20" customHeight="1"/>
    <row r="387" ht="20" customHeight="1"/>
    <row r="388" ht="20" customHeight="1"/>
    <row r="389" ht="20" customHeight="1"/>
    <row r="390" ht="20" customHeight="1"/>
    <row r="391" ht="20" customHeight="1"/>
    <row r="392" ht="20" customHeight="1"/>
    <row r="393" ht="20" customHeight="1"/>
    <row r="394" ht="20" customHeight="1"/>
    <row r="395" ht="20" customHeight="1"/>
    <row r="396" ht="20" customHeight="1"/>
    <row r="397" ht="20" customHeight="1"/>
    <row r="398" ht="20" customHeight="1"/>
    <row r="399" ht="20" customHeight="1"/>
    <row r="400" ht="20" customHeight="1"/>
    <row r="401" ht="20" customHeight="1"/>
    <row r="402" ht="20" customHeight="1"/>
    <row r="403" ht="20" customHeight="1"/>
    <row r="404" ht="20" customHeight="1"/>
    <row r="405" ht="20" customHeight="1"/>
    <row r="406" ht="20" customHeight="1"/>
    <row r="407" ht="20" customHeight="1"/>
    <row r="408" ht="20" customHeight="1"/>
    <row r="409" ht="20" customHeight="1"/>
    <row r="410" ht="20" customHeight="1"/>
    <row r="411" ht="20" customHeight="1"/>
    <row r="412" ht="20" customHeight="1"/>
    <row r="413" ht="20" customHeight="1"/>
    <row r="414" ht="20" customHeight="1"/>
    <row r="415" ht="20" customHeight="1"/>
    <row r="416" ht="20" customHeight="1"/>
    <row r="417" ht="20" customHeight="1"/>
    <row r="418" ht="20" customHeight="1"/>
    <row r="419" ht="20" customHeight="1"/>
    <row r="420" ht="20" customHeight="1"/>
    <row r="421" ht="20" customHeight="1"/>
    <row r="422" ht="20" customHeight="1"/>
    <row r="423" ht="20" customHeight="1"/>
    <row r="424" ht="20" customHeight="1"/>
    <row r="425" ht="20" customHeight="1"/>
    <row r="426" ht="20" customHeight="1"/>
    <row r="427" ht="20" customHeight="1"/>
    <row r="428" ht="20" customHeight="1"/>
    <row r="429" ht="20" customHeight="1"/>
    <row r="430" ht="20" customHeight="1"/>
    <row r="431" ht="20" customHeight="1"/>
    <row r="432" ht="20" customHeight="1"/>
    <row r="433" ht="20" customHeight="1"/>
    <row r="434" ht="20" customHeight="1"/>
    <row r="435" ht="20" customHeight="1"/>
    <row r="436" ht="20" customHeight="1"/>
    <row r="437" ht="20" customHeight="1"/>
    <row r="438" ht="20" customHeight="1"/>
    <row r="439" ht="20" customHeight="1"/>
    <row r="440" ht="20" customHeight="1"/>
    <row r="441" ht="20" customHeight="1"/>
    <row r="442" ht="20" customHeight="1"/>
    <row r="443" ht="20" customHeight="1"/>
    <row r="444" ht="20" customHeight="1"/>
    <row r="445" ht="20" customHeight="1"/>
    <row r="446" ht="20" customHeight="1"/>
    <row r="447" ht="20" customHeight="1"/>
    <row r="448" ht="20" customHeight="1"/>
    <row r="449" ht="20" customHeight="1"/>
    <row r="450" ht="20" customHeight="1"/>
    <row r="451" ht="20" customHeight="1"/>
    <row r="452" ht="20" customHeight="1"/>
    <row r="453" ht="20" customHeight="1"/>
    <row r="454" ht="20" customHeight="1"/>
    <row r="455" ht="20" customHeight="1"/>
    <row r="456" ht="20" customHeight="1"/>
    <row r="457" ht="20" customHeight="1"/>
    <row r="458" ht="20" customHeight="1"/>
    <row r="459" ht="20" customHeight="1"/>
    <row r="460" ht="20" customHeight="1"/>
    <row r="461" ht="20" customHeight="1"/>
    <row r="462" ht="20" customHeight="1"/>
    <row r="463" ht="20" customHeight="1"/>
    <row r="464" ht="20" customHeight="1"/>
    <row r="465" ht="20" customHeight="1"/>
    <row r="466" ht="20" customHeight="1"/>
    <row r="467" ht="20" customHeight="1"/>
    <row r="468" ht="20" customHeight="1"/>
    <row r="469" ht="20" customHeight="1"/>
    <row r="470" ht="20" customHeight="1"/>
    <row r="471" ht="20" customHeight="1"/>
    <row r="472" ht="20" customHeight="1"/>
    <row r="473" ht="20" customHeight="1"/>
    <row r="474" ht="20" customHeight="1"/>
    <row r="475" ht="20" customHeight="1"/>
    <row r="476" ht="20" customHeight="1"/>
    <row r="477" ht="20" customHeight="1"/>
    <row r="478" ht="20" customHeight="1"/>
    <row r="479" ht="20" customHeight="1"/>
    <row r="480" ht="20" customHeight="1"/>
    <row r="481" ht="20" customHeight="1"/>
    <row r="482" ht="20" customHeight="1"/>
    <row r="483" ht="20" customHeight="1"/>
    <row r="484" ht="20" customHeight="1"/>
    <row r="485" ht="20" customHeight="1"/>
    <row r="486" ht="20" customHeight="1"/>
    <row r="487" ht="20" customHeight="1"/>
    <row r="488" ht="20" customHeight="1"/>
    <row r="489" ht="20" customHeight="1"/>
    <row r="490" ht="20" customHeight="1"/>
    <row r="491" ht="20" customHeight="1"/>
    <row r="492" ht="20" customHeight="1"/>
    <row r="493" ht="20" customHeight="1"/>
    <row r="494" ht="20" customHeight="1"/>
    <row r="495" ht="20" customHeight="1"/>
    <row r="496" ht="20" customHeight="1"/>
    <row r="497" ht="20" customHeight="1"/>
    <row r="498" ht="20" customHeight="1"/>
    <row r="499" ht="20" customHeight="1"/>
    <row r="500" ht="20" customHeight="1"/>
    <row r="501" ht="20" customHeight="1"/>
    <row r="502" ht="20" customHeight="1"/>
    <row r="503" ht="20" customHeight="1"/>
    <row r="504" ht="20" customHeight="1"/>
    <row r="505" ht="20" customHeight="1"/>
    <row r="506" ht="20" customHeight="1"/>
    <row r="507" ht="20" customHeight="1"/>
    <row r="508" ht="20" customHeight="1"/>
    <row r="509" ht="20" customHeight="1"/>
    <row r="510" ht="20" customHeight="1"/>
    <row r="511" ht="20" customHeight="1"/>
    <row r="512" ht="20" customHeight="1"/>
    <row r="513" ht="20" customHeight="1"/>
    <row r="514" ht="20" customHeight="1"/>
    <row r="515" ht="20" customHeight="1"/>
    <row r="516" ht="20" customHeight="1"/>
    <row r="517" ht="20" customHeight="1"/>
    <row r="518" ht="20" customHeight="1"/>
    <row r="519" ht="20" customHeight="1"/>
    <row r="520" ht="20" customHeight="1"/>
    <row r="521" ht="20" customHeight="1"/>
    <row r="522" ht="20" customHeight="1"/>
    <row r="523" ht="20" customHeight="1"/>
    <row r="524" ht="20" customHeight="1"/>
    <row r="525" ht="20" customHeight="1"/>
    <row r="526" ht="20" customHeight="1"/>
    <row r="527" ht="20" customHeight="1"/>
    <row r="528" ht="20" customHeight="1"/>
    <row r="529" ht="20" customHeight="1"/>
    <row r="530" ht="20" customHeight="1"/>
    <row r="531" ht="20" customHeight="1"/>
    <row r="532" ht="20" customHeight="1"/>
    <row r="533" ht="20" customHeight="1"/>
    <row r="534" ht="20" customHeight="1"/>
    <row r="535" ht="20" customHeight="1"/>
    <row r="536" ht="20" customHeight="1"/>
    <row r="537" ht="20" customHeight="1"/>
    <row r="538" ht="20" customHeight="1"/>
    <row r="539" ht="20" customHeight="1"/>
    <row r="540" ht="20" customHeight="1"/>
    <row r="541" ht="20" customHeight="1"/>
    <row r="542" ht="20" customHeight="1"/>
    <row r="543" ht="20" customHeight="1"/>
    <row r="544" ht="20" customHeight="1"/>
    <row r="545" ht="20" customHeight="1"/>
    <row r="546" ht="20" customHeight="1"/>
    <row r="547" ht="20" customHeight="1"/>
    <row r="548" ht="20" customHeight="1"/>
    <row r="549" ht="20" customHeight="1"/>
    <row r="550" ht="20" customHeight="1"/>
    <row r="551" ht="20" customHeight="1"/>
    <row r="552" ht="20" customHeight="1"/>
    <row r="553" ht="20" customHeight="1"/>
    <row r="554" ht="20" customHeight="1"/>
    <row r="555" ht="20" customHeight="1"/>
    <row r="556" ht="20" customHeight="1"/>
    <row r="557" ht="20" customHeight="1"/>
    <row r="558" ht="20" customHeight="1"/>
    <row r="559" ht="20" customHeight="1"/>
    <row r="560" ht="20" customHeight="1"/>
    <row r="561" ht="20" customHeight="1"/>
    <row r="562" ht="20" customHeight="1"/>
    <row r="563" ht="20" customHeight="1"/>
    <row r="564" ht="20" customHeight="1"/>
    <row r="565" ht="20" customHeight="1"/>
    <row r="566" ht="20" customHeight="1"/>
    <row r="567" ht="20" customHeight="1"/>
    <row r="568" ht="20" customHeight="1"/>
    <row r="569" ht="20" customHeight="1"/>
    <row r="570" ht="20" customHeight="1"/>
    <row r="571" ht="20" customHeight="1"/>
    <row r="572" ht="20" customHeight="1"/>
    <row r="573" ht="20" customHeight="1"/>
    <row r="574" ht="20" customHeight="1"/>
    <row r="575" ht="20" customHeight="1"/>
    <row r="576" ht="20" customHeight="1"/>
    <row r="577" ht="20" customHeight="1"/>
    <row r="578" ht="20" customHeight="1"/>
    <row r="579" ht="20" customHeight="1"/>
    <row r="580" ht="20" customHeight="1"/>
    <row r="581" ht="20" customHeight="1"/>
    <row r="582" ht="20" customHeight="1"/>
    <row r="583" ht="20" customHeight="1"/>
    <row r="584" ht="20" customHeight="1"/>
    <row r="585" ht="20" customHeight="1"/>
    <row r="586" ht="20" customHeight="1"/>
    <row r="587" ht="20" customHeight="1"/>
    <row r="588" ht="20" customHeight="1"/>
    <row r="589" ht="20" customHeight="1"/>
    <row r="590" ht="20" customHeight="1"/>
    <row r="591" ht="20" customHeight="1"/>
    <row r="592" ht="20" customHeight="1"/>
    <row r="593" ht="20" customHeight="1"/>
    <row r="594" ht="20" customHeight="1"/>
    <row r="595" ht="20" customHeight="1"/>
    <row r="596" ht="20" customHeight="1"/>
    <row r="597" ht="20" customHeight="1"/>
    <row r="598" ht="20" customHeight="1"/>
    <row r="599" ht="20" customHeight="1"/>
    <row r="600" ht="20" customHeight="1"/>
    <row r="601" ht="20" customHeight="1"/>
    <row r="602" ht="20" customHeight="1"/>
    <row r="603" ht="20" customHeight="1"/>
    <row r="604" ht="20" customHeight="1"/>
    <row r="605" ht="20" customHeight="1"/>
    <row r="606" ht="20" customHeight="1"/>
    <row r="607" ht="20" customHeight="1"/>
    <row r="608" ht="20" customHeight="1"/>
    <row r="609" ht="20" customHeight="1"/>
    <row r="610" ht="20" customHeight="1"/>
    <row r="611" ht="20" customHeight="1"/>
    <row r="612" ht="20" customHeight="1"/>
    <row r="613" ht="20" customHeight="1"/>
    <row r="614" ht="20" customHeight="1"/>
    <row r="615" ht="20" customHeight="1"/>
    <row r="616" ht="20" customHeight="1"/>
    <row r="617" ht="20" customHeight="1"/>
    <row r="618" ht="20" customHeight="1"/>
    <row r="619" ht="20" customHeight="1"/>
    <row r="620" ht="20" customHeight="1"/>
    <row r="621" ht="20" customHeight="1"/>
    <row r="622" ht="20" customHeight="1"/>
    <row r="623" ht="20" customHeight="1"/>
    <row r="624" ht="20" customHeight="1"/>
    <row r="625" ht="20" customHeight="1"/>
    <row r="626" ht="20" customHeight="1"/>
    <row r="627" ht="20" customHeight="1"/>
    <row r="628" ht="20" customHeight="1"/>
    <row r="629" ht="20" customHeight="1"/>
    <row r="630" ht="20" customHeight="1"/>
    <row r="631" ht="20" customHeight="1"/>
    <row r="632" ht="20" customHeight="1"/>
    <row r="633" ht="20" customHeight="1"/>
    <row r="634" ht="20" customHeight="1"/>
    <row r="635" ht="20" customHeight="1"/>
    <row r="636" ht="20" customHeight="1"/>
    <row r="637" ht="20" customHeight="1"/>
    <row r="638" ht="20" customHeight="1"/>
    <row r="639" ht="20" customHeight="1"/>
    <row r="640" ht="20" customHeight="1"/>
    <row r="641" ht="20" customHeight="1"/>
    <row r="642" ht="20" customHeight="1"/>
    <row r="643" ht="20" customHeight="1"/>
    <row r="644" ht="20" customHeight="1"/>
    <row r="645" ht="20" customHeight="1"/>
    <row r="646" ht="20" customHeight="1"/>
    <row r="647" ht="20" customHeight="1"/>
    <row r="648" ht="20" customHeight="1"/>
    <row r="649" ht="20" customHeight="1"/>
    <row r="650" ht="20" customHeight="1"/>
    <row r="651" ht="20" customHeight="1"/>
    <row r="652" ht="20" customHeight="1"/>
    <row r="653" ht="20" customHeight="1"/>
    <row r="654" ht="20" customHeight="1"/>
    <row r="655" ht="20" customHeight="1"/>
    <row r="656" ht="20" customHeight="1"/>
    <row r="657" ht="20" customHeight="1"/>
    <row r="658" ht="20" customHeight="1"/>
    <row r="659" ht="20" customHeight="1"/>
    <row r="660" ht="20" customHeight="1"/>
    <row r="661" ht="20" customHeight="1"/>
    <row r="662" ht="20" customHeight="1"/>
    <row r="663" ht="20" customHeight="1"/>
    <row r="664" ht="20" customHeight="1"/>
    <row r="665" ht="20" customHeight="1"/>
    <row r="666" ht="20" customHeight="1"/>
    <row r="667" ht="20" customHeight="1"/>
    <row r="668" ht="20" customHeight="1"/>
    <row r="669" ht="20" customHeight="1"/>
    <row r="670" ht="20" customHeight="1"/>
    <row r="671" ht="20" customHeight="1"/>
    <row r="672" ht="20" customHeight="1"/>
    <row r="673" ht="20" customHeight="1"/>
    <row r="674" ht="20" customHeight="1"/>
    <row r="675" ht="20" customHeight="1"/>
    <row r="676" ht="20" customHeight="1"/>
    <row r="677" ht="20" customHeight="1"/>
    <row r="678" ht="20" customHeight="1"/>
    <row r="679" ht="20" customHeight="1"/>
    <row r="680" ht="20" customHeight="1"/>
    <row r="681" ht="20" customHeight="1"/>
    <row r="682" ht="20" customHeight="1"/>
    <row r="683" ht="20" customHeight="1"/>
    <row r="684" ht="20" customHeight="1"/>
    <row r="685" ht="20" customHeight="1"/>
    <row r="686" ht="20" customHeight="1"/>
    <row r="687" ht="20" customHeight="1"/>
    <row r="688" ht="20" customHeight="1"/>
    <row r="689" ht="20" customHeight="1"/>
    <row r="690" ht="20" customHeight="1"/>
    <row r="691" ht="20" customHeight="1"/>
    <row r="692" ht="20" customHeight="1"/>
    <row r="693" ht="20" customHeight="1"/>
    <row r="694" ht="20" customHeight="1"/>
    <row r="695" ht="20" customHeight="1"/>
    <row r="696" ht="20" customHeight="1"/>
    <row r="697" ht="20" customHeight="1"/>
    <row r="698" ht="20" customHeight="1"/>
    <row r="699" ht="20" customHeight="1"/>
    <row r="700" ht="20" customHeight="1"/>
    <row r="701" ht="20" customHeight="1"/>
    <row r="702" ht="20" customHeight="1"/>
    <row r="703" ht="20" customHeight="1"/>
    <row r="704" ht="20" customHeight="1"/>
    <row r="705" ht="20" customHeight="1"/>
    <row r="706" ht="20" customHeight="1"/>
    <row r="707" ht="20" customHeight="1"/>
    <row r="708" ht="20" customHeight="1"/>
    <row r="709" ht="20" customHeight="1"/>
    <row r="710" ht="20" customHeight="1"/>
    <row r="711" ht="20" customHeight="1"/>
    <row r="712" ht="20" customHeight="1"/>
    <row r="713" ht="20" customHeight="1"/>
    <row r="714" ht="20" customHeight="1"/>
    <row r="715" ht="20" customHeight="1"/>
    <row r="716" ht="20" customHeight="1"/>
    <row r="717" ht="20" customHeight="1"/>
    <row r="718" ht="20" customHeight="1"/>
    <row r="719" ht="20" customHeight="1"/>
    <row r="720" ht="20" customHeight="1"/>
    <row r="721" ht="20" customHeight="1"/>
    <row r="722" ht="20" customHeight="1"/>
    <row r="723" ht="20" customHeight="1"/>
    <row r="724" ht="20" customHeight="1"/>
    <row r="725" ht="20" customHeight="1"/>
    <row r="726" ht="20" customHeight="1"/>
    <row r="727" ht="20" customHeight="1"/>
    <row r="728" ht="20" customHeight="1"/>
    <row r="729" ht="20" customHeight="1"/>
    <row r="730" ht="20" customHeight="1"/>
    <row r="731" ht="20" customHeight="1"/>
    <row r="732" ht="20" customHeight="1"/>
    <row r="733" ht="20" customHeight="1"/>
    <row r="734" ht="20" customHeight="1"/>
    <row r="735" ht="20" customHeight="1"/>
    <row r="736" ht="20" customHeight="1"/>
    <row r="737" ht="20" customHeight="1"/>
    <row r="738" ht="20" customHeight="1"/>
    <row r="739" ht="20" customHeight="1"/>
    <row r="740" ht="20" customHeight="1"/>
    <row r="741" ht="20" customHeight="1"/>
    <row r="742" ht="20" customHeight="1"/>
    <row r="743" ht="20" customHeight="1"/>
    <row r="744" ht="20" customHeight="1"/>
    <row r="745" ht="20" customHeight="1"/>
    <row r="746" ht="20" customHeight="1"/>
    <row r="747" ht="20" customHeight="1"/>
    <row r="748" ht="20" customHeight="1"/>
    <row r="749" ht="20" customHeight="1"/>
    <row r="750" ht="20" customHeight="1"/>
    <row r="751" ht="20" customHeight="1"/>
    <row r="752" ht="20" customHeight="1"/>
    <row r="753" ht="20" customHeight="1"/>
    <row r="754" ht="20" customHeight="1"/>
    <row r="755" ht="20" customHeight="1"/>
    <row r="756" ht="20" customHeight="1"/>
    <row r="757" ht="20" customHeight="1"/>
    <row r="758" ht="20" customHeight="1"/>
    <row r="759" ht="20" customHeight="1"/>
    <row r="760" ht="20" customHeight="1"/>
    <row r="761" ht="20" customHeight="1"/>
    <row r="762" ht="20" customHeight="1"/>
    <row r="763" ht="20" customHeight="1"/>
    <row r="764" ht="20" customHeight="1"/>
    <row r="765" ht="20" customHeight="1"/>
    <row r="766" ht="20" customHeight="1"/>
    <row r="767" ht="20" customHeight="1"/>
    <row r="768" ht="20" customHeight="1"/>
    <row r="769" ht="20" customHeight="1"/>
    <row r="770" ht="20" customHeight="1"/>
    <row r="771" ht="20" customHeight="1"/>
    <row r="772" ht="20" customHeight="1"/>
    <row r="773" ht="20" customHeight="1"/>
    <row r="774" ht="20" customHeight="1"/>
    <row r="775" ht="20" customHeight="1"/>
    <row r="776" ht="20" customHeight="1"/>
    <row r="777" ht="20" customHeight="1"/>
    <row r="778" ht="20" customHeight="1"/>
    <row r="779" ht="20" customHeight="1"/>
    <row r="780" ht="20" customHeight="1"/>
    <row r="781" ht="20" customHeight="1"/>
    <row r="782" ht="20" customHeight="1"/>
    <row r="783" ht="20" customHeight="1"/>
    <row r="784" ht="20" customHeight="1"/>
    <row r="785" ht="20" customHeight="1"/>
    <row r="786" ht="20" customHeight="1"/>
    <row r="787" ht="20" customHeight="1"/>
    <row r="788" ht="20" customHeight="1"/>
    <row r="789" ht="20" customHeight="1"/>
    <row r="790" ht="20" customHeight="1"/>
    <row r="791" ht="20" customHeight="1"/>
    <row r="792" ht="20" customHeight="1"/>
    <row r="793" ht="20" customHeight="1"/>
    <row r="794" ht="20" customHeight="1"/>
    <row r="795" ht="20" customHeight="1"/>
    <row r="796" ht="20" customHeight="1"/>
    <row r="797" ht="20" customHeight="1"/>
    <row r="798" ht="20" customHeight="1"/>
    <row r="799" ht="20" customHeight="1"/>
    <row r="800" ht="20" customHeight="1"/>
    <row r="801" ht="20" customHeight="1"/>
    <row r="802" ht="20" customHeight="1"/>
    <row r="803" ht="20" customHeight="1"/>
    <row r="804" ht="20" customHeight="1"/>
    <row r="805" ht="20" customHeight="1"/>
    <row r="806" ht="20" customHeight="1"/>
    <row r="807" ht="20" customHeight="1"/>
    <row r="808" ht="20" customHeight="1"/>
    <row r="809" ht="20" customHeight="1"/>
    <row r="810" ht="20" customHeight="1"/>
    <row r="811" ht="20" customHeight="1"/>
    <row r="812" ht="20" customHeight="1"/>
    <row r="813" ht="20" customHeight="1"/>
    <row r="814" ht="20" customHeight="1"/>
    <row r="815" ht="20" customHeight="1"/>
    <row r="816" ht="20" customHeight="1"/>
    <row r="817" ht="20" customHeight="1"/>
    <row r="818" ht="20" customHeight="1"/>
    <row r="819" ht="20" customHeight="1"/>
    <row r="820" ht="20" customHeight="1"/>
    <row r="821" ht="20" customHeight="1"/>
    <row r="822" ht="20" customHeight="1"/>
    <row r="823" ht="20" customHeight="1"/>
    <row r="824" ht="20" customHeight="1"/>
    <row r="825" ht="20" customHeight="1"/>
    <row r="826" ht="20" customHeight="1"/>
    <row r="827" ht="20" customHeight="1"/>
    <row r="828" ht="20" customHeight="1"/>
    <row r="829" ht="20" customHeight="1"/>
    <row r="830" ht="20" customHeight="1"/>
    <row r="831" ht="20" customHeight="1"/>
    <row r="832" ht="20" customHeight="1"/>
    <row r="833" ht="20" customHeight="1"/>
    <row r="834" ht="20" customHeight="1"/>
    <row r="835" ht="20" customHeight="1"/>
    <row r="836" ht="20" customHeight="1"/>
    <row r="837" ht="20" customHeight="1"/>
    <row r="838" ht="20" customHeight="1"/>
    <row r="839" ht="20" customHeight="1"/>
    <row r="840" ht="20" customHeight="1"/>
    <row r="841" ht="20" customHeight="1"/>
    <row r="842" ht="20" customHeight="1"/>
    <row r="843" ht="20" customHeight="1"/>
    <row r="844" ht="20" customHeight="1"/>
    <row r="845" ht="20" customHeight="1"/>
    <row r="846" ht="20" customHeight="1"/>
    <row r="847" ht="20" customHeight="1"/>
    <row r="848" ht="20" customHeight="1"/>
    <row r="849" ht="20" customHeight="1"/>
    <row r="850" ht="20" customHeight="1"/>
    <row r="851" ht="20" customHeight="1"/>
    <row r="852" ht="20" customHeight="1"/>
    <row r="853" ht="20" customHeight="1"/>
    <row r="854" ht="20" customHeight="1"/>
    <row r="855" ht="20" customHeight="1"/>
    <row r="856" ht="20" customHeight="1"/>
    <row r="857" ht="20" customHeight="1"/>
    <row r="858" ht="20" customHeight="1"/>
    <row r="859" ht="20" customHeight="1"/>
    <row r="860" ht="20" customHeight="1"/>
    <row r="861" ht="20" customHeight="1"/>
    <row r="862" ht="20" customHeight="1"/>
    <row r="863" ht="20" customHeight="1"/>
    <row r="864" ht="20" customHeight="1"/>
    <row r="865" ht="20" customHeight="1"/>
    <row r="866" ht="20" customHeight="1"/>
    <row r="867" ht="20" customHeight="1"/>
    <row r="868" ht="20" customHeight="1"/>
    <row r="869" ht="20" customHeight="1"/>
    <row r="870" ht="20" customHeight="1"/>
    <row r="871" ht="20" customHeight="1"/>
    <row r="872" ht="20" customHeight="1"/>
    <row r="873" ht="20" customHeight="1"/>
    <row r="874" ht="20" customHeight="1"/>
    <row r="875" ht="20" customHeight="1"/>
    <row r="876" ht="20" customHeight="1"/>
    <row r="877" ht="20" customHeight="1"/>
    <row r="878" ht="20" customHeight="1"/>
    <row r="879" ht="20" customHeight="1"/>
    <row r="880" ht="20" customHeight="1"/>
    <row r="881" ht="20" customHeight="1"/>
    <row r="882" ht="20" customHeight="1"/>
    <row r="883" ht="20" customHeight="1"/>
    <row r="884" ht="20" customHeight="1"/>
    <row r="885" ht="20" customHeight="1"/>
    <row r="886" ht="20" customHeight="1"/>
    <row r="887" ht="20" customHeight="1"/>
    <row r="888" ht="20" customHeight="1"/>
    <row r="889" ht="20" customHeight="1"/>
    <row r="890" ht="20" customHeight="1"/>
    <row r="891" ht="20" customHeight="1"/>
    <row r="892" ht="20" customHeight="1"/>
    <row r="893" ht="20" customHeight="1"/>
    <row r="894" ht="20" customHeight="1"/>
    <row r="895" ht="20" customHeight="1"/>
    <row r="896" ht="20" customHeight="1"/>
    <row r="897" ht="20" customHeight="1"/>
    <row r="898" ht="20" customHeight="1"/>
    <row r="899" ht="20" customHeight="1"/>
    <row r="900" ht="20" customHeight="1"/>
    <row r="901" ht="20" customHeight="1"/>
    <row r="902" ht="20" customHeight="1"/>
    <row r="903" ht="20" customHeight="1"/>
    <row r="904" ht="20" customHeight="1"/>
    <row r="905" ht="20" customHeight="1"/>
    <row r="906" ht="20" customHeight="1"/>
    <row r="907" ht="20" customHeight="1"/>
    <row r="908" ht="20" customHeight="1"/>
    <row r="909" ht="20" customHeight="1"/>
    <row r="910" ht="20" customHeight="1"/>
    <row r="911" ht="20" customHeight="1"/>
    <row r="912" ht="20" customHeight="1"/>
    <row r="913" ht="20" customHeight="1"/>
    <row r="914" ht="20" customHeight="1"/>
    <row r="915" ht="20" customHeight="1"/>
    <row r="916" ht="20" customHeight="1"/>
    <row r="917" ht="20" customHeight="1"/>
    <row r="918" ht="20" customHeight="1"/>
    <row r="919" ht="20" customHeight="1"/>
    <row r="920" ht="20" customHeight="1"/>
    <row r="921" ht="20" customHeight="1"/>
    <row r="922" ht="20" customHeight="1"/>
    <row r="923" ht="20" customHeight="1"/>
    <row r="924" ht="20" customHeight="1"/>
    <row r="925" ht="20" customHeight="1"/>
    <row r="926" ht="20" customHeight="1"/>
    <row r="927" ht="20" customHeight="1"/>
    <row r="928" ht="20" customHeight="1"/>
    <row r="929" ht="20" customHeight="1"/>
    <row r="930" ht="20" customHeight="1"/>
    <row r="931" ht="20" customHeight="1"/>
    <row r="932" ht="20" customHeight="1"/>
    <row r="933" ht="20" customHeight="1"/>
    <row r="934" ht="20" customHeight="1"/>
    <row r="935" ht="20" customHeight="1"/>
    <row r="936" ht="20" customHeight="1"/>
    <row r="937" ht="20" customHeight="1"/>
    <row r="938" ht="20" customHeight="1"/>
    <row r="939" ht="20" customHeight="1"/>
    <row r="940" ht="20" customHeight="1"/>
    <row r="941" ht="20" customHeight="1"/>
    <row r="942" ht="20" customHeight="1"/>
    <row r="943" ht="20" customHeight="1"/>
    <row r="944" ht="20" customHeight="1"/>
    <row r="945" ht="20" customHeight="1"/>
    <row r="946" ht="20" customHeight="1"/>
    <row r="947" ht="20" customHeight="1"/>
    <row r="948" ht="20" customHeight="1"/>
    <row r="949" ht="20" customHeight="1"/>
    <row r="950" ht="20" customHeight="1"/>
    <row r="951" ht="20" customHeight="1"/>
    <row r="952" ht="20" customHeight="1"/>
    <row r="953" ht="20" customHeight="1"/>
    <row r="954" ht="20" customHeight="1"/>
    <row r="955" ht="20" customHeight="1"/>
    <row r="956" ht="20" customHeight="1"/>
    <row r="957" ht="20" customHeight="1"/>
    <row r="958" ht="20" customHeight="1"/>
    <row r="959" ht="20" customHeight="1"/>
    <row r="960" ht="20" customHeight="1"/>
    <row r="961" ht="20" customHeight="1"/>
    <row r="962" ht="20" customHeight="1"/>
    <row r="963" ht="20" customHeight="1"/>
    <row r="964" ht="20" customHeight="1"/>
    <row r="965" ht="20" customHeight="1"/>
    <row r="966" ht="20" customHeight="1"/>
    <row r="967" ht="20" customHeight="1"/>
    <row r="968" ht="20" customHeight="1"/>
    <row r="969" ht="20" customHeight="1"/>
    <row r="970" ht="20" customHeight="1"/>
    <row r="971" ht="20" customHeight="1"/>
    <row r="972" ht="20" customHeight="1"/>
    <row r="973" ht="20" customHeight="1"/>
    <row r="974" ht="20" customHeight="1"/>
    <row r="975" ht="20" customHeight="1"/>
    <row r="976" ht="20" customHeight="1"/>
    <row r="977" ht="20" customHeight="1"/>
    <row r="978" ht="20" customHeight="1"/>
    <row r="979" ht="20" customHeight="1"/>
    <row r="980" ht="20" customHeight="1"/>
    <row r="981" ht="20" customHeight="1"/>
    <row r="982" ht="20" customHeight="1"/>
    <row r="983" ht="20" customHeight="1"/>
    <row r="984" ht="20" customHeight="1"/>
    <row r="985" ht="20" customHeight="1"/>
    <row r="986" ht="20" customHeight="1"/>
    <row r="987" ht="20" customHeight="1"/>
    <row r="988" ht="20" customHeight="1"/>
    <row r="989" ht="20" customHeight="1"/>
    <row r="990" ht="20" customHeight="1"/>
    <row r="991" ht="20" customHeight="1"/>
    <row r="992" ht="20" customHeight="1"/>
    <row r="993" ht="20" customHeight="1"/>
    <row r="994" ht="20" customHeight="1"/>
    <row r="995" ht="20" customHeight="1"/>
    <row r="996" ht="20" customHeight="1"/>
    <row r="997" ht="20" customHeight="1"/>
    <row r="998" ht="20" customHeight="1"/>
    <row r="999" ht="20" customHeight="1"/>
    <row r="1000" ht="20" customHeight="1"/>
    <row r="1001" ht="20" customHeight="1"/>
  </sheetData>
  <mergeCells count="1">
    <mergeCell ref="B2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DF7F5-4FDA-470A-8FC9-E1E0643EF67D}">
  <dimension ref="B2:C200"/>
  <sheetViews>
    <sheetView tabSelected="1" workbookViewId="0"/>
  </sheetViews>
  <sheetFormatPr defaultRowHeight="14.5"/>
  <cols>
    <col min="1" max="1" width="3.54296875" style="17" customWidth="1"/>
    <col min="2" max="2" width="16.08984375" style="17" bestFit="1" customWidth="1"/>
    <col min="3" max="3" width="11.08984375" style="17" bestFit="1" customWidth="1"/>
    <col min="4" max="16384" width="8.7265625" style="17"/>
  </cols>
  <sheetData>
    <row r="2" spans="2:3" ht="20.5" customHeight="1" thickBot="1">
      <c r="B2" s="11" t="s">
        <v>13</v>
      </c>
      <c r="C2" s="11"/>
    </row>
    <row r="3" spans="2:3" ht="20.5" customHeight="1" thickTop="1">
      <c r="B3" s="2" t="s">
        <v>11</v>
      </c>
      <c r="C3" s="3">
        <v>27000</v>
      </c>
    </row>
    <row r="4" spans="2:3" ht="20.5" customHeight="1">
      <c r="B4" s="4" t="s">
        <v>9</v>
      </c>
      <c r="C4" s="18">
        <v>4.9500000000000002E-2</v>
      </c>
    </row>
    <row r="5" spans="2:3" ht="20.5" customHeight="1">
      <c r="B5" s="4" t="s">
        <v>12</v>
      </c>
      <c r="C5" s="4">
        <v>60</v>
      </c>
    </row>
    <row r="6" spans="2:3" ht="20.5" customHeight="1">
      <c r="B6" s="8" t="s">
        <v>10</v>
      </c>
      <c r="C6" s="19">
        <f>PMT(C4/12,C5,-C3)</f>
        <v>508.90504541892204</v>
      </c>
    </row>
    <row r="7" spans="2:3" ht="20.5" customHeight="1"/>
    <row r="8" spans="2:3" ht="20.5" customHeight="1"/>
    <row r="9" spans="2:3" ht="20.5" customHeight="1"/>
    <row r="10" spans="2:3" ht="20.5" customHeight="1"/>
    <row r="11" spans="2:3" ht="20.5" customHeight="1"/>
    <row r="12" spans="2:3" ht="20.5" customHeight="1"/>
    <row r="13" spans="2:3" ht="20.5" customHeight="1"/>
    <row r="14" spans="2:3" ht="20.5" customHeight="1"/>
    <row r="15" spans="2:3" ht="20.5" customHeight="1"/>
    <row r="16" spans="2:3" ht="20.5" customHeight="1"/>
    <row r="17" ht="20.5" customHeight="1"/>
    <row r="18" ht="20.5" customHeight="1"/>
    <row r="19" ht="20.5" customHeight="1"/>
    <row r="20" ht="20.5" customHeight="1"/>
    <row r="21" ht="20.5" customHeight="1"/>
    <row r="22" ht="20.5" customHeight="1"/>
    <row r="23" ht="20.5" customHeight="1"/>
    <row r="24" ht="20.5" customHeight="1"/>
    <row r="25" ht="20.5" customHeight="1"/>
    <row r="26" ht="20.5" customHeight="1"/>
    <row r="27" ht="20.5" customHeight="1"/>
    <row r="28" ht="20.5" customHeight="1"/>
    <row r="29" ht="20.5" customHeight="1"/>
    <row r="30" ht="20.5" customHeight="1"/>
    <row r="31" ht="20.5" customHeight="1"/>
    <row r="32" ht="20.5" customHeight="1"/>
    <row r="33" ht="20.5" customHeight="1"/>
    <row r="34" ht="20.5" customHeight="1"/>
    <row r="35" ht="20.5" customHeight="1"/>
    <row r="36" ht="20.5" customHeight="1"/>
    <row r="37" ht="20.5" customHeight="1"/>
    <row r="38" ht="20.5" customHeight="1"/>
    <row r="39" ht="20.5" customHeight="1"/>
    <row r="40" ht="20.5" customHeight="1"/>
    <row r="41" ht="20.5" customHeight="1"/>
    <row r="42" ht="20.5" customHeight="1"/>
    <row r="43" ht="20.5" customHeight="1"/>
    <row r="44" ht="20.5" customHeight="1"/>
    <row r="45" ht="20.5" customHeight="1"/>
    <row r="46" ht="20.5" customHeight="1"/>
    <row r="47" ht="20.5" customHeight="1"/>
    <row r="48" ht="20.5" customHeight="1"/>
    <row r="49" ht="20.5" customHeight="1"/>
    <row r="50" ht="20.5" customHeight="1"/>
    <row r="51" ht="20.5" customHeight="1"/>
    <row r="52" ht="20.5" customHeight="1"/>
    <row r="53" ht="20.5" customHeight="1"/>
    <row r="54" ht="20.5" customHeight="1"/>
    <row r="55" ht="20.5" customHeight="1"/>
    <row r="56" ht="20.5" customHeight="1"/>
    <row r="57" ht="20.5" customHeight="1"/>
    <row r="58" ht="20.5" customHeight="1"/>
    <row r="59" ht="20.5" customHeight="1"/>
    <row r="60" ht="20.5" customHeight="1"/>
    <row r="61" ht="20.5" customHeight="1"/>
    <row r="62" ht="20.5" customHeight="1"/>
    <row r="63" ht="20.5" customHeight="1"/>
    <row r="64" ht="20.5" customHeight="1"/>
    <row r="65" ht="20.5" customHeight="1"/>
    <row r="66" ht="20.5" customHeight="1"/>
    <row r="67" ht="20.5" customHeight="1"/>
    <row r="68" ht="20.5" customHeight="1"/>
    <row r="69" ht="20.5" customHeight="1"/>
    <row r="70" ht="20.5" customHeight="1"/>
    <row r="71" ht="20.5" customHeight="1"/>
    <row r="72" ht="20.5" customHeight="1"/>
    <row r="73" ht="20.5" customHeight="1"/>
    <row r="74" ht="20.5" customHeight="1"/>
    <row r="75" ht="20.5" customHeight="1"/>
    <row r="76" ht="20.5" customHeight="1"/>
    <row r="77" ht="20.5" customHeight="1"/>
    <row r="78" ht="20.5" customHeight="1"/>
    <row r="79" ht="20.5" customHeight="1"/>
    <row r="80" ht="20.5" customHeight="1"/>
    <row r="81" ht="20.5" customHeight="1"/>
    <row r="82" ht="20.5" customHeight="1"/>
    <row r="83" ht="20.5" customHeight="1"/>
    <row r="84" ht="20.5" customHeight="1"/>
    <row r="85" ht="20.5" customHeight="1"/>
    <row r="86" ht="20.5" customHeight="1"/>
    <row r="87" ht="20.5" customHeight="1"/>
    <row r="88" ht="20.5" customHeight="1"/>
    <row r="89" ht="20.5" customHeight="1"/>
    <row r="90" ht="20.5" customHeight="1"/>
    <row r="91" ht="20.5" customHeight="1"/>
    <row r="92" ht="20.5" customHeight="1"/>
    <row r="93" ht="20.5" customHeight="1"/>
    <row r="94" ht="20.5" customHeight="1"/>
    <row r="95" ht="20.5" customHeight="1"/>
    <row r="96" ht="20.5" customHeight="1"/>
    <row r="97" ht="20.5" customHeight="1"/>
    <row r="98" ht="20.5" customHeight="1"/>
    <row r="99" ht="20.5" customHeight="1"/>
    <row r="100" ht="20.5" customHeight="1"/>
    <row r="101" ht="20.5" customHeight="1"/>
    <row r="102" ht="20.5" customHeight="1"/>
    <row r="103" ht="20.5" customHeight="1"/>
    <row r="104" ht="20.5" customHeight="1"/>
    <row r="105" ht="20.5" customHeight="1"/>
    <row r="106" ht="20.5" customHeight="1"/>
    <row r="107" ht="20.5" customHeight="1"/>
    <row r="108" ht="20.5" customHeight="1"/>
    <row r="109" ht="20.5" customHeight="1"/>
    <row r="110" ht="20.5" customHeight="1"/>
    <row r="111" ht="20.5" customHeight="1"/>
    <row r="112" ht="20.5" customHeight="1"/>
    <row r="113" ht="20.5" customHeight="1"/>
    <row r="114" ht="20.5" customHeight="1"/>
    <row r="115" ht="20.5" customHeight="1"/>
    <row r="116" ht="20.5" customHeight="1"/>
    <row r="117" ht="20.5" customHeight="1"/>
    <row r="118" ht="20.5" customHeight="1"/>
    <row r="119" ht="20.5" customHeight="1"/>
    <row r="120" ht="20.5" customHeight="1"/>
    <row r="121" ht="20.5" customHeight="1"/>
    <row r="122" ht="20.5" customHeight="1"/>
    <row r="123" ht="20.5" customHeight="1"/>
    <row r="124" ht="20.5" customHeight="1"/>
    <row r="125" ht="20.5" customHeight="1"/>
    <row r="126" ht="20.5" customHeight="1"/>
    <row r="127" ht="20.5" customHeight="1"/>
    <row r="128" ht="20.5" customHeight="1"/>
    <row r="129" ht="20.5" customHeight="1"/>
    <row r="130" ht="20.5" customHeight="1"/>
    <row r="131" ht="20.5" customHeight="1"/>
    <row r="132" ht="20.5" customHeight="1"/>
    <row r="133" ht="20.5" customHeight="1"/>
    <row r="134" ht="20.5" customHeight="1"/>
    <row r="135" ht="20.5" customHeight="1"/>
    <row r="136" ht="20.5" customHeight="1"/>
    <row r="137" ht="20.5" customHeight="1"/>
    <row r="138" ht="20.5" customHeight="1"/>
    <row r="139" ht="20.5" customHeight="1"/>
    <row r="140" ht="20.5" customHeight="1"/>
    <row r="141" ht="20.5" customHeight="1"/>
    <row r="142" ht="20.5" customHeight="1"/>
    <row r="143" ht="20.5" customHeight="1"/>
    <row r="144" ht="20.5" customHeight="1"/>
    <row r="145" ht="20.5" customHeight="1"/>
    <row r="146" ht="20.5" customHeight="1"/>
    <row r="147" ht="20.5" customHeight="1"/>
    <row r="148" ht="20.5" customHeight="1"/>
    <row r="149" ht="20.5" customHeight="1"/>
    <row r="150" ht="20.5" customHeight="1"/>
    <row r="151" ht="20.5" customHeight="1"/>
    <row r="152" ht="20.5" customHeight="1"/>
    <row r="153" ht="20.5" customHeight="1"/>
    <row r="154" ht="20.5" customHeight="1"/>
    <row r="155" ht="20.5" customHeight="1"/>
    <row r="156" ht="20.5" customHeight="1"/>
    <row r="157" ht="20.5" customHeight="1"/>
    <row r="158" ht="20.5" customHeight="1"/>
    <row r="159" ht="20.5" customHeight="1"/>
    <row r="160" ht="20.5" customHeight="1"/>
    <row r="161" ht="20.5" customHeight="1"/>
    <row r="162" ht="20.5" customHeight="1"/>
    <row r="163" ht="20.5" customHeight="1"/>
    <row r="164" ht="20.5" customHeight="1"/>
    <row r="165" ht="20.5" customHeight="1"/>
    <row r="166" ht="20.5" customHeight="1"/>
    <row r="167" ht="20.5" customHeight="1"/>
    <row r="168" ht="20.5" customHeight="1"/>
    <row r="169" ht="20.5" customHeight="1"/>
    <row r="170" ht="20.5" customHeight="1"/>
    <row r="171" ht="20.5" customHeight="1"/>
    <row r="172" ht="20.5" customHeight="1"/>
    <row r="173" ht="20.5" customHeight="1"/>
    <row r="174" ht="20.5" customHeight="1"/>
    <row r="175" ht="20.5" customHeight="1"/>
    <row r="176" ht="20.5" customHeight="1"/>
    <row r="177" ht="20.5" customHeight="1"/>
    <row r="178" ht="20.5" customHeight="1"/>
    <row r="179" ht="20.5" customHeight="1"/>
    <row r="180" ht="20.5" customHeight="1"/>
    <row r="181" ht="20.5" customHeight="1"/>
    <row r="182" ht="20.5" customHeight="1"/>
    <row r="183" ht="20.5" customHeight="1"/>
    <row r="184" ht="20.5" customHeight="1"/>
    <row r="185" ht="20.5" customHeight="1"/>
    <row r="186" ht="20.5" customHeight="1"/>
    <row r="187" ht="20.5" customHeight="1"/>
    <row r="188" ht="20.5" customHeight="1"/>
    <row r="189" ht="20.5" customHeight="1"/>
    <row r="190" ht="20.5" customHeight="1"/>
    <row r="191" ht="20.5" customHeight="1"/>
    <row r="192" ht="20.5" customHeight="1"/>
    <row r="193" ht="20.5" customHeight="1"/>
    <row r="194" ht="20.5" customHeight="1"/>
    <row r="195" ht="20.5" customHeight="1"/>
    <row r="196" ht="20.5" customHeight="1"/>
    <row r="197" ht="20.5" customHeight="1"/>
    <row r="198" ht="20.5" customHeight="1"/>
    <row r="199" ht="20.5" customHeight="1"/>
    <row r="200" ht="20.5" customHeight="1"/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WHAT-IF</vt:lpstr>
      <vt:lpstr>LOAN</vt:lpstr>
      <vt:lpstr>Cost</vt:lpstr>
      <vt:lpstr>Price</vt:lpstr>
      <vt:lpstr>Profit</vt:lpstr>
      <vt:lpstr>Quantity</vt:lpstr>
      <vt:lpstr>Revenue</vt:lpstr>
      <vt:lpstr>VAT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Park, Brian</dc:creator>
  <cp:lastModifiedBy>Brian Park</cp:lastModifiedBy>
  <dcterms:created xsi:type="dcterms:W3CDTF">2023-09-10T14:36:41Z</dcterms:created>
  <dcterms:modified xsi:type="dcterms:W3CDTF">2023-11-20T09:11:24Z</dcterms:modified>
</cp:coreProperties>
</file>