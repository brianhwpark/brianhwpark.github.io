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F2023\BUSI201-F2023-Workbooks\"/>
    </mc:Choice>
  </mc:AlternateContent>
  <xr:revisionPtr revIDLastSave="0" documentId="13_ncr:1_{0B03EC71-905E-4170-B608-286EA678D4C6}" xr6:coauthVersionLast="47" xr6:coauthVersionMax="47" xr10:uidLastSave="{00000000-0000-0000-0000-000000000000}"/>
  <bookViews>
    <workbookView xWindow="-28920" yWindow="-120" windowWidth="29040" windowHeight="15720" xr2:uid="{E0370A53-E83C-44B1-80DC-D3572B94AFF1}"/>
  </bookViews>
  <sheets>
    <sheet name="LAW" sheetId="12" r:id="rId1"/>
    <sheet name="PUSHUP" sheetId="13" r:id="rId2"/>
    <sheet name="TRIATHLON" sheetId="14" r:id="rId3"/>
    <sheet name="SALES" sheetId="15" r:id="rId4"/>
    <sheet name="SALES2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3" l="1"/>
  <c r="F8" i="13"/>
  <c r="F9" i="13"/>
  <c r="F10" i="13"/>
  <c r="F11" i="13"/>
  <c r="F12" i="13"/>
  <c r="F13" i="13"/>
  <c r="F14" i="13"/>
  <c r="F15" i="13"/>
  <c r="F16" i="13"/>
  <c r="F17" i="13"/>
  <c r="F18" i="13"/>
  <c r="F6" i="13"/>
  <c r="F5" i="13"/>
  <c r="H6" i="15"/>
  <c r="H7" i="15"/>
  <c r="H8" i="15"/>
  <c r="H9" i="15"/>
  <c r="H10" i="15"/>
  <c r="H11" i="15"/>
  <c r="H12" i="15"/>
  <c r="H13" i="15"/>
  <c r="H14" i="15"/>
  <c r="H15" i="15"/>
  <c r="H16" i="15"/>
  <c r="H5" i="15"/>
  <c r="E6" i="15"/>
  <c r="E7" i="15"/>
  <c r="E8" i="15"/>
  <c r="E9" i="15"/>
  <c r="E10" i="15"/>
  <c r="E11" i="15"/>
  <c r="E12" i="15"/>
  <c r="E13" i="15"/>
  <c r="E14" i="15"/>
  <c r="E15" i="15"/>
  <c r="E16" i="15"/>
  <c r="E5" i="15"/>
</calcChain>
</file>

<file path=xl/sharedStrings.xml><?xml version="1.0" encoding="utf-8"?>
<sst xmlns="http://schemas.openxmlformats.org/spreadsheetml/2006/main" count="234" uniqueCount="133">
  <si>
    <t>LSAT</t>
  </si>
  <si>
    <t>GPA</t>
  </si>
  <si>
    <t>References</t>
  </si>
  <si>
    <t>Statements</t>
  </si>
  <si>
    <t>Experiences</t>
  </si>
  <si>
    <t>Excellent</t>
  </si>
  <si>
    <t>Satisfactory</t>
  </si>
  <si>
    <t>Rejection</t>
  </si>
  <si>
    <t>Poor</t>
  </si>
  <si>
    <t>From</t>
  </si>
  <si>
    <t>To</t>
  </si>
  <si>
    <t>Verdict</t>
  </si>
  <si>
    <t>Applicant ID</t>
  </si>
  <si>
    <t>CL-20230001</t>
  </si>
  <si>
    <t>CL-20230006</t>
  </si>
  <si>
    <t>CL-20230004</t>
  </si>
  <si>
    <t>CL-20230002</t>
  </si>
  <si>
    <t>CL-20230003</t>
  </si>
  <si>
    <t>CL-20230005</t>
  </si>
  <si>
    <t>CL-20230007</t>
  </si>
  <si>
    <t>CL-20230008</t>
  </si>
  <si>
    <t>CL-20230009</t>
  </si>
  <si>
    <t>CL-20230010</t>
  </si>
  <si>
    <t>CL-20230011</t>
  </si>
  <si>
    <t>CL-20230012</t>
  </si>
  <si>
    <t>CL-20230013</t>
  </si>
  <si>
    <t>CL-20230014</t>
  </si>
  <si>
    <t>CL-20230015</t>
  </si>
  <si>
    <t>CL-20230016</t>
  </si>
  <si>
    <t>CL-20230017</t>
  </si>
  <si>
    <t>CL-20230018</t>
  </si>
  <si>
    <t>CL-20230019</t>
  </si>
  <si>
    <t>CL-20230020</t>
  </si>
  <si>
    <t>CL-20230021</t>
  </si>
  <si>
    <t>CL-20230022</t>
  </si>
  <si>
    <t>Top 75%</t>
  </si>
  <si>
    <t>Top 25%</t>
  </si>
  <si>
    <t>Bottom 25%</t>
  </si>
  <si>
    <t>Top 50%</t>
  </si>
  <si>
    <t>Top 20%</t>
  </si>
  <si>
    <t>Bottom 20%</t>
  </si>
  <si>
    <t>Top 80%</t>
  </si>
  <si>
    <t>LAW SCHOOL APPLICATION EVALUATIONS</t>
  </si>
  <si>
    <t>CL-20230023</t>
  </si>
  <si>
    <t>CL-20230024</t>
  </si>
  <si>
    <t>CL-20230025</t>
  </si>
  <si>
    <t>CL-20230026</t>
  </si>
  <si>
    <t>EVALUATION RULES</t>
  </si>
  <si>
    <t>Format</t>
  </si>
  <si>
    <t>Criteria</t>
  </si>
  <si>
    <t>Score</t>
  </si>
  <si>
    <t>Contestant</t>
  </si>
  <si>
    <t>Attempt 1</t>
  </si>
  <si>
    <t>Attempt 2</t>
  </si>
  <si>
    <t>Attempt 3</t>
  </si>
  <si>
    <t>Push-up Scores</t>
  </si>
  <si>
    <t>Participant</t>
  </si>
  <si>
    <t>Total</t>
  </si>
  <si>
    <t>Evaluation Rules</t>
  </si>
  <si>
    <t>Criteria 1: Sum of All Attempts</t>
  </si>
  <si>
    <t>If the sum of all three attempts is less than or equal to 130, the participant fails, and must try again.</t>
  </si>
  <si>
    <t>PID-1</t>
  </si>
  <si>
    <t>PID-2</t>
  </si>
  <si>
    <t>PID-3</t>
  </si>
  <si>
    <t>PID-4</t>
  </si>
  <si>
    <t>PID-5</t>
  </si>
  <si>
    <t>PID-6</t>
  </si>
  <si>
    <t>PID-7</t>
  </si>
  <si>
    <t>PID-8</t>
  </si>
  <si>
    <t>PID-9</t>
  </si>
  <si>
    <t>PID-10</t>
  </si>
  <si>
    <t>PID-11</t>
  </si>
  <si>
    <t>PID-12</t>
  </si>
  <si>
    <t>PID-13</t>
  </si>
  <si>
    <t>PID-14</t>
  </si>
  <si>
    <t>Highest</t>
  </si>
  <si>
    <t>Criteria 2: Max of All Attempts</t>
  </si>
  <si>
    <t>Criteria 3: Min of All Attempts</t>
  </si>
  <si>
    <t>Lowest</t>
  </si>
  <si>
    <t>Sum of Greatest Two</t>
  </si>
  <si>
    <t>If the lowest of all three attempts is less than or equal to 30, the participant fails, and must try again.</t>
  </si>
  <si>
    <t>If the highest of all three attempts is less than or equal to 45, the participant fails, and must try again.</t>
  </si>
  <si>
    <t>Criteria 4: Greatest Two Attempts</t>
  </si>
  <si>
    <t>If the sum of the top two records is less than or equal to 90, the participant fails, and must try again.</t>
  </si>
  <si>
    <t>Swimming</t>
  </si>
  <si>
    <t>Cycling</t>
  </si>
  <si>
    <t>Running</t>
  </si>
  <si>
    <t>CH3-001</t>
  </si>
  <si>
    <t>CH3-002</t>
  </si>
  <si>
    <t>CH3-003</t>
  </si>
  <si>
    <t>CH3-004</t>
  </si>
  <si>
    <t>CH3-005</t>
  </si>
  <si>
    <t>CH3-006</t>
  </si>
  <si>
    <t>CH3-007</t>
  </si>
  <si>
    <t>CH3-008</t>
  </si>
  <si>
    <t>CH3-009</t>
  </si>
  <si>
    <t>CH3-010</t>
  </si>
  <si>
    <t>CH3-011</t>
  </si>
  <si>
    <t>CH3-012</t>
  </si>
  <si>
    <t>CH3-013</t>
  </si>
  <si>
    <t>CH3-014</t>
  </si>
  <si>
    <t>CH3-015</t>
  </si>
  <si>
    <t>Triathlon Training</t>
  </si>
  <si>
    <t>Criteria 1: AND</t>
  </si>
  <si>
    <t>If a contestant passes all three courses, they pass the entire test.</t>
  </si>
  <si>
    <t>Evaluation Criteria</t>
  </si>
  <si>
    <t>PASSING CONTESTANT</t>
  </si>
  <si>
    <t>Emma Johnson</t>
  </si>
  <si>
    <t>Ethan Davis</t>
  </si>
  <si>
    <t>Olivia Martinez</t>
  </si>
  <si>
    <t>Noah Anderson</t>
  </si>
  <si>
    <t>Sophia Wilson</t>
  </si>
  <si>
    <t>Liam Brown</t>
  </si>
  <si>
    <t>Ava Smith</t>
  </si>
  <si>
    <t>Mason Taylor</t>
  </si>
  <si>
    <t>Isabella Jackson</t>
  </si>
  <si>
    <t>Benjamin Harris</t>
  </si>
  <si>
    <t>Mia Thompson</t>
  </si>
  <si>
    <t>William Turner</t>
  </si>
  <si>
    <t>Employee</t>
  </si>
  <si>
    <t>Target Sales</t>
  </si>
  <si>
    <t>Realized Sales</t>
  </si>
  <si>
    <t>Completion</t>
  </si>
  <si>
    <t>Net Profit</t>
  </si>
  <si>
    <t>Profit Rate</t>
  </si>
  <si>
    <t>Annual Sales Update</t>
  </si>
  <si>
    <t>Q1</t>
  </si>
  <si>
    <t>Q2</t>
  </si>
  <si>
    <t>Q3</t>
  </si>
  <si>
    <t>Q4</t>
  </si>
  <si>
    <t>Trend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</si>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</sst>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;\-;@"/>
    <numFmt numFmtId="165" formatCode="0%;[Red]\-0%;\-;@"/>
  </numFmts>
  <fonts count="11">
    <font>
      <sz val="11"/>
      <color theme="1"/>
      <name val="Calibri"/>
      <family val="2"/>
      <scheme val="minor"/>
    </font>
    <font>
      <sz val="11"/>
      <color theme="1"/>
      <name val="맑은 고딕"/>
      <family val="2"/>
      <charset val="129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4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3" xfId="0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2" borderId="0" xfId="0" applyFill="1" applyBorder="1" applyAlignment="1">
      <alignment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1" fillId="2" borderId="9" xfId="1" applyFill="1" applyBorder="1">
      <alignment vertical="center"/>
    </xf>
    <xf numFmtId="3" fontId="1" fillId="2" borderId="9" xfId="1" applyNumberFormat="1" applyFill="1" applyBorder="1">
      <alignment vertical="center"/>
    </xf>
    <xf numFmtId="0" fontId="9" fillId="6" borderId="9" xfId="1" applyFont="1" applyFill="1" applyBorder="1">
      <alignment vertical="center"/>
    </xf>
    <xf numFmtId="0" fontId="9" fillId="6" borderId="9" xfId="1" applyFont="1" applyFill="1" applyBorder="1" applyAlignment="1">
      <alignment horizontal="center" vertical="center"/>
    </xf>
    <xf numFmtId="165" fontId="1" fillId="2" borderId="9" xfId="1" applyNumberFormat="1" applyFill="1" applyBorder="1" applyAlignment="1">
      <alignment horizontal="center" vertical="center"/>
    </xf>
    <xf numFmtId="0" fontId="0" fillId="2" borderId="0" xfId="0" applyFont="1" applyFill="1"/>
    <xf numFmtId="0" fontId="2" fillId="6" borderId="9" xfId="1" applyFont="1" applyFill="1" applyBorder="1">
      <alignment vertical="center"/>
    </xf>
    <xf numFmtId="0" fontId="2" fillId="6" borderId="9" xfId="1" applyFont="1" applyFill="1" applyBorder="1" applyAlignment="1">
      <alignment horizontal="center" vertical="center"/>
    </xf>
    <xf numFmtId="0" fontId="2" fillId="6" borderId="9" xfId="1" applyFont="1" applyFill="1" applyBorder="1" applyAlignment="1">
      <alignment horizontal="center" vertical="center"/>
    </xf>
    <xf numFmtId="0" fontId="0" fillId="2" borderId="9" xfId="1" applyFont="1" applyFill="1" applyBorder="1">
      <alignment vertical="center"/>
    </xf>
    <xf numFmtId="3" fontId="0" fillId="2" borderId="9" xfId="1" applyNumberFormat="1" applyFont="1" applyFill="1" applyBorder="1">
      <alignment vertical="center"/>
    </xf>
    <xf numFmtId="9" fontId="0" fillId="2" borderId="9" xfId="1" applyNumberFormat="1" applyFont="1" applyFill="1" applyBorder="1">
      <alignment vertical="center"/>
    </xf>
    <xf numFmtId="164" fontId="0" fillId="2" borderId="9" xfId="1" applyNumberFormat="1" applyFont="1" applyFill="1" applyBorder="1">
      <alignment vertical="center"/>
    </xf>
    <xf numFmtId="165" fontId="0" fillId="2" borderId="9" xfId="1" applyNumberFormat="1" applyFont="1" applyFill="1" applyBorder="1">
      <alignment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0" fillId="2" borderId="0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C6AA37D6-AE0A-44C2-80B5-D8B2FF2EDFAC}"/>
    <cellStyle name="Percent 2" xfId="2" xr:uid="{0E5A9441-5C63-41C7-8D35-3730826B0A2A}"/>
  </cellStyles>
  <dxfs count="12"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numFmt numFmtId="2" formatCode="0.00"/>
      <fill>
        <patternFill>
          <bgColor rgb="FFFF0000"/>
        </patternFill>
      </fill>
    </dxf>
    <dxf>
      <font>
        <b/>
        <i/>
        <color rgb="FFFF0000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numFmt numFmtId="2" formatCode="0.00"/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39E6-38EE-400B-8953-1534B6A5696F}">
  <dimension ref="B2:L30"/>
  <sheetViews>
    <sheetView tabSelected="1" zoomScale="120" zoomScaleNormal="120" workbookViewId="0"/>
  </sheetViews>
  <sheetFormatPr defaultRowHeight="14.4"/>
  <cols>
    <col min="1" max="1" width="3.77734375" style="1" customWidth="1"/>
    <col min="2" max="7" width="12.77734375" style="1" customWidth="1"/>
    <col min="8" max="8" width="3.77734375" style="1" customWidth="1"/>
    <col min="9" max="10" width="6.77734375" style="1" customWidth="1"/>
    <col min="11" max="11" width="11" style="1" bestFit="1" customWidth="1"/>
    <col min="12" max="16384" width="8.88671875" style="1"/>
  </cols>
  <sheetData>
    <row r="2" spans="2:12" ht="18">
      <c r="B2" s="42" t="s">
        <v>42</v>
      </c>
      <c r="C2" s="42"/>
      <c r="D2" s="42"/>
      <c r="E2" s="42"/>
      <c r="F2" s="42"/>
      <c r="G2" s="42"/>
      <c r="I2" s="42" t="s">
        <v>47</v>
      </c>
      <c r="J2" s="42"/>
      <c r="K2" s="42"/>
      <c r="L2" s="42"/>
    </row>
    <row r="4" spans="2:12" ht="15" thickBot="1">
      <c r="B4" s="9" t="s">
        <v>12</v>
      </c>
      <c r="C4" s="9" t="s">
        <v>0</v>
      </c>
      <c r="D4" s="9" t="s">
        <v>1</v>
      </c>
      <c r="E4" s="9" t="s">
        <v>2</v>
      </c>
      <c r="F4" s="9" t="s">
        <v>3</v>
      </c>
      <c r="G4" s="9" t="s">
        <v>4</v>
      </c>
      <c r="I4" s="6" t="s">
        <v>0</v>
      </c>
      <c r="J4" s="6"/>
      <c r="K4" s="6"/>
      <c r="L4" s="6"/>
    </row>
    <row r="5" spans="2:12" ht="15.6" thickTop="1" thickBot="1">
      <c r="B5" s="16" t="s">
        <v>13</v>
      </c>
      <c r="C5" s="16">
        <v>146</v>
      </c>
      <c r="D5" s="16">
        <v>3.88</v>
      </c>
      <c r="E5" s="16">
        <v>8.3000000000000007</v>
      </c>
      <c r="F5" s="16">
        <v>3.4</v>
      </c>
      <c r="G5" s="16">
        <v>6.9</v>
      </c>
      <c r="I5" s="7" t="s">
        <v>9</v>
      </c>
      <c r="J5" s="7" t="s">
        <v>10</v>
      </c>
      <c r="K5" s="7" t="s">
        <v>11</v>
      </c>
      <c r="L5" s="7" t="s">
        <v>48</v>
      </c>
    </row>
    <row r="6" spans="2:12" ht="15" thickTop="1">
      <c r="B6" s="17" t="s">
        <v>16</v>
      </c>
      <c r="C6" s="17">
        <v>180</v>
      </c>
      <c r="D6" s="17">
        <v>3.22</v>
      </c>
      <c r="E6" s="17">
        <v>7.8</v>
      </c>
      <c r="F6" s="17">
        <v>3.3</v>
      </c>
      <c r="G6" s="17">
        <v>7.2</v>
      </c>
      <c r="I6" s="2">
        <v>170</v>
      </c>
      <c r="J6" s="2">
        <v>180</v>
      </c>
      <c r="K6" s="2" t="s">
        <v>5</v>
      </c>
      <c r="L6" s="12" t="s">
        <v>50</v>
      </c>
    </row>
    <row r="7" spans="2:12">
      <c r="B7" s="17" t="s">
        <v>17</v>
      </c>
      <c r="C7" s="17">
        <v>152</v>
      </c>
      <c r="D7" s="17">
        <v>3.47</v>
      </c>
      <c r="E7" s="17">
        <v>1.8</v>
      </c>
      <c r="F7" s="17">
        <v>1.3</v>
      </c>
      <c r="G7" s="17">
        <v>9.1</v>
      </c>
      <c r="I7" s="2">
        <v>155</v>
      </c>
      <c r="J7" s="2">
        <v>169</v>
      </c>
      <c r="K7" s="2" t="s">
        <v>6</v>
      </c>
      <c r="L7" s="13" t="s">
        <v>50</v>
      </c>
    </row>
    <row r="8" spans="2:12">
      <c r="B8" s="17" t="s">
        <v>15</v>
      </c>
      <c r="C8" s="17">
        <v>154</v>
      </c>
      <c r="D8" s="17">
        <v>3.4</v>
      </c>
      <c r="E8" s="17">
        <v>9.5</v>
      </c>
      <c r="F8" s="17">
        <v>7.4</v>
      </c>
      <c r="G8" s="17">
        <v>9.6</v>
      </c>
      <c r="I8" s="2">
        <v>145</v>
      </c>
      <c r="J8" s="2">
        <v>154</v>
      </c>
      <c r="K8" s="2" t="s">
        <v>8</v>
      </c>
      <c r="L8" s="2" t="s">
        <v>50</v>
      </c>
    </row>
    <row r="9" spans="2:12">
      <c r="B9" s="17" t="s">
        <v>18</v>
      </c>
      <c r="C9" s="17">
        <v>149</v>
      </c>
      <c r="D9" s="17">
        <v>3.61</v>
      </c>
      <c r="E9" s="17">
        <v>8.5</v>
      </c>
      <c r="F9" s="17">
        <v>1.6</v>
      </c>
      <c r="G9" s="17">
        <v>2.2999999999999998</v>
      </c>
      <c r="I9" s="2">
        <v>0</v>
      </c>
      <c r="J9" s="2">
        <v>144</v>
      </c>
      <c r="K9" s="2" t="s">
        <v>7</v>
      </c>
      <c r="L9" s="14" t="s">
        <v>50</v>
      </c>
    </row>
    <row r="10" spans="2:12">
      <c r="B10" s="17" t="s">
        <v>14</v>
      </c>
      <c r="C10" s="17">
        <v>175</v>
      </c>
      <c r="D10" s="17">
        <v>3.17</v>
      </c>
      <c r="E10" s="17">
        <v>6.2</v>
      </c>
      <c r="F10" s="17">
        <v>6.1</v>
      </c>
      <c r="G10" s="17">
        <v>9.6</v>
      </c>
      <c r="I10" s="2"/>
      <c r="J10" s="2"/>
      <c r="K10" s="2"/>
    </row>
    <row r="11" spans="2:12">
      <c r="B11" s="17" t="s">
        <v>19</v>
      </c>
      <c r="C11" s="17">
        <v>180</v>
      </c>
      <c r="D11" s="17">
        <v>2.2799999999999998</v>
      </c>
      <c r="E11" s="17">
        <v>3.8</v>
      </c>
      <c r="F11" s="17">
        <v>4</v>
      </c>
      <c r="G11" s="17">
        <v>6.9</v>
      </c>
      <c r="I11" s="6" t="s">
        <v>1</v>
      </c>
      <c r="J11" s="6"/>
      <c r="K11" s="6"/>
      <c r="L11" s="6"/>
    </row>
    <row r="12" spans="2:12" ht="15" thickBot="1">
      <c r="B12" s="17" t="s">
        <v>20</v>
      </c>
      <c r="C12" s="17">
        <v>176</v>
      </c>
      <c r="D12" s="17">
        <v>4.25</v>
      </c>
      <c r="E12" s="17">
        <v>7.2</v>
      </c>
      <c r="F12" s="17">
        <v>1.7</v>
      </c>
      <c r="G12" s="17">
        <v>9.3000000000000007</v>
      </c>
      <c r="I12" s="7" t="s">
        <v>9</v>
      </c>
      <c r="J12" s="7" t="s">
        <v>10</v>
      </c>
      <c r="K12" s="7" t="s">
        <v>11</v>
      </c>
      <c r="L12" s="7" t="s">
        <v>48</v>
      </c>
    </row>
    <row r="13" spans="2:12" ht="15" thickTop="1">
      <c r="B13" s="17" t="s">
        <v>21</v>
      </c>
      <c r="C13" s="17">
        <v>158</v>
      </c>
      <c r="D13" s="17">
        <v>3.64</v>
      </c>
      <c r="E13" s="17">
        <v>9.1</v>
      </c>
      <c r="F13" s="17">
        <v>2.1</v>
      </c>
      <c r="G13" s="17">
        <v>4.2</v>
      </c>
      <c r="I13" s="2">
        <v>3.7</v>
      </c>
      <c r="J13" s="2">
        <v>4.3</v>
      </c>
      <c r="K13" s="2" t="s">
        <v>5</v>
      </c>
      <c r="L13" s="12" t="s">
        <v>50</v>
      </c>
    </row>
    <row r="14" spans="2:12">
      <c r="B14" s="17" t="s">
        <v>22</v>
      </c>
      <c r="C14" s="17">
        <v>162</v>
      </c>
      <c r="D14" s="17">
        <v>3.74</v>
      </c>
      <c r="E14" s="17">
        <v>4</v>
      </c>
      <c r="F14" s="17">
        <v>9.6</v>
      </c>
      <c r="G14" s="17">
        <v>8.3000000000000007</v>
      </c>
      <c r="I14" s="2">
        <v>3.3</v>
      </c>
      <c r="J14" s="2">
        <v>3.69</v>
      </c>
      <c r="K14" s="2" t="s">
        <v>6</v>
      </c>
      <c r="L14" s="13" t="s">
        <v>50</v>
      </c>
    </row>
    <row r="15" spans="2:12">
      <c r="B15" s="17" t="s">
        <v>23</v>
      </c>
      <c r="C15" s="17">
        <v>176</v>
      </c>
      <c r="D15" s="17">
        <v>4.12</v>
      </c>
      <c r="E15" s="17">
        <v>7.1</v>
      </c>
      <c r="F15" s="17">
        <v>2.9</v>
      </c>
      <c r="G15" s="17">
        <v>2.1</v>
      </c>
      <c r="I15" s="2">
        <v>3</v>
      </c>
      <c r="J15" s="2">
        <v>3.29</v>
      </c>
      <c r="K15" s="2" t="s">
        <v>8</v>
      </c>
      <c r="L15" s="2" t="s">
        <v>50</v>
      </c>
    </row>
    <row r="16" spans="2:12">
      <c r="B16" s="17" t="s">
        <v>24</v>
      </c>
      <c r="C16" s="17">
        <v>167</v>
      </c>
      <c r="D16" s="17">
        <v>4.1399999999999997</v>
      </c>
      <c r="E16" s="17">
        <v>9.8000000000000007</v>
      </c>
      <c r="F16" s="17">
        <v>7.4</v>
      </c>
      <c r="G16" s="17">
        <v>10</v>
      </c>
      <c r="I16" s="2">
        <v>0</v>
      </c>
      <c r="J16" s="2">
        <v>2.99</v>
      </c>
      <c r="K16" s="2" t="s">
        <v>7</v>
      </c>
      <c r="L16" s="14" t="s">
        <v>50</v>
      </c>
    </row>
    <row r="17" spans="2:12">
      <c r="B17" s="17" t="s">
        <v>25</v>
      </c>
      <c r="C17" s="17">
        <v>174</v>
      </c>
      <c r="D17" s="17">
        <v>3.65</v>
      </c>
      <c r="E17" s="17">
        <v>7.4</v>
      </c>
      <c r="F17" s="17">
        <v>4.0999999999999996</v>
      </c>
      <c r="G17" s="17">
        <v>8.6999999999999993</v>
      </c>
      <c r="I17" s="2"/>
      <c r="J17" s="2"/>
      <c r="K17" s="2"/>
    </row>
    <row r="18" spans="2:12">
      <c r="B18" s="17" t="s">
        <v>26</v>
      </c>
      <c r="C18" s="17">
        <v>159</v>
      </c>
      <c r="D18" s="17">
        <v>3.17</v>
      </c>
      <c r="E18" s="17">
        <v>2.8</v>
      </c>
      <c r="F18" s="17">
        <v>2</v>
      </c>
      <c r="G18" s="17">
        <v>8.1</v>
      </c>
      <c r="I18" s="6" t="s">
        <v>2</v>
      </c>
      <c r="J18" s="6"/>
      <c r="K18" s="6"/>
      <c r="L18" s="6"/>
    </row>
    <row r="19" spans="2:12" ht="15" thickBot="1">
      <c r="B19" s="17" t="s">
        <v>27</v>
      </c>
      <c r="C19" s="17">
        <v>168</v>
      </c>
      <c r="D19" s="17">
        <v>4.07</v>
      </c>
      <c r="E19" s="17">
        <v>5.0999999999999996</v>
      </c>
      <c r="F19" s="17">
        <v>9.1</v>
      </c>
      <c r="G19" s="17">
        <v>9</v>
      </c>
      <c r="I19" s="11" t="s">
        <v>49</v>
      </c>
      <c r="J19" s="11"/>
      <c r="K19" s="7" t="s">
        <v>11</v>
      </c>
      <c r="L19" s="7" t="s">
        <v>48</v>
      </c>
    </row>
    <row r="20" spans="2:12" ht="15" thickTop="1">
      <c r="B20" s="17" t="s">
        <v>28</v>
      </c>
      <c r="C20" s="17">
        <v>147</v>
      </c>
      <c r="D20" s="17">
        <v>3.18</v>
      </c>
      <c r="E20" s="17">
        <v>1.2</v>
      </c>
      <c r="F20" s="17">
        <v>8.6999999999999993</v>
      </c>
      <c r="G20" s="17">
        <v>8.1999999999999993</v>
      </c>
      <c r="I20" s="5" t="s">
        <v>36</v>
      </c>
      <c r="J20" s="5"/>
      <c r="K20" s="2" t="s">
        <v>5</v>
      </c>
      <c r="L20" s="12" t="s">
        <v>50</v>
      </c>
    </row>
    <row r="21" spans="2:12">
      <c r="B21" s="17" t="s">
        <v>29</v>
      </c>
      <c r="C21" s="17">
        <v>149</v>
      </c>
      <c r="D21" s="17">
        <v>3.24</v>
      </c>
      <c r="E21" s="17">
        <v>1.7</v>
      </c>
      <c r="F21" s="17">
        <v>7.9</v>
      </c>
      <c r="G21" s="17">
        <v>1.9</v>
      </c>
      <c r="I21" s="5" t="s">
        <v>38</v>
      </c>
      <c r="J21" s="5"/>
      <c r="K21" s="2" t="s">
        <v>6</v>
      </c>
      <c r="L21" s="13" t="s">
        <v>50</v>
      </c>
    </row>
    <row r="22" spans="2:12">
      <c r="B22" s="17" t="s">
        <v>30</v>
      </c>
      <c r="C22" s="17">
        <v>162</v>
      </c>
      <c r="D22" s="17">
        <v>3.3</v>
      </c>
      <c r="E22" s="17">
        <v>6.8</v>
      </c>
      <c r="F22" s="17">
        <v>3</v>
      </c>
      <c r="G22" s="17">
        <v>2.6</v>
      </c>
      <c r="I22" s="5" t="s">
        <v>35</v>
      </c>
      <c r="J22" s="5"/>
      <c r="K22" s="2" t="s">
        <v>8</v>
      </c>
      <c r="L22" s="2" t="s">
        <v>50</v>
      </c>
    </row>
    <row r="23" spans="2:12">
      <c r="B23" s="17" t="s">
        <v>31</v>
      </c>
      <c r="C23" s="17">
        <v>143</v>
      </c>
      <c r="D23" s="17">
        <v>3.95</v>
      </c>
      <c r="E23" s="17">
        <v>8.6999999999999993</v>
      </c>
      <c r="F23" s="17">
        <v>6.3</v>
      </c>
      <c r="G23" s="17">
        <v>9.1999999999999993</v>
      </c>
      <c r="I23" s="5" t="s">
        <v>37</v>
      </c>
      <c r="J23" s="5"/>
      <c r="K23" s="2" t="s">
        <v>7</v>
      </c>
      <c r="L23" s="14" t="s">
        <v>50</v>
      </c>
    </row>
    <row r="24" spans="2:12">
      <c r="B24" s="17" t="s">
        <v>32</v>
      </c>
      <c r="C24" s="17">
        <v>138</v>
      </c>
      <c r="D24" s="17">
        <v>3.24</v>
      </c>
      <c r="E24" s="17">
        <v>1.7</v>
      </c>
      <c r="F24" s="17">
        <v>9.8000000000000007</v>
      </c>
      <c r="G24" s="17">
        <v>5.0999999999999996</v>
      </c>
      <c r="I24" s="2"/>
      <c r="J24" s="2"/>
      <c r="K24" s="2"/>
      <c r="L24" s="4"/>
    </row>
    <row r="25" spans="2:12">
      <c r="B25" s="17" t="s">
        <v>33</v>
      </c>
      <c r="C25" s="17">
        <v>152</v>
      </c>
      <c r="D25" s="17">
        <v>4.25</v>
      </c>
      <c r="E25" s="17">
        <v>6</v>
      </c>
      <c r="F25" s="17">
        <v>2.6</v>
      </c>
      <c r="G25" s="17">
        <v>8.3000000000000007</v>
      </c>
      <c r="I25" s="6" t="s">
        <v>3</v>
      </c>
      <c r="J25" s="6"/>
      <c r="K25" s="6"/>
      <c r="L25" s="6"/>
    </row>
    <row r="26" spans="2:12" ht="15" thickBot="1">
      <c r="B26" s="17" t="s">
        <v>34</v>
      </c>
      <c r="C26" s="17">
        <v>159</v>
      </c>
      <c r="D26" s="17">
        <v>3.45</v>
      </c>
      <c r="E26" s="17">
        <v>9</v>
      </c>
      <c r="F26" s="17">
        <v>9.9</v>
      </c>
      <c r="G26" s="17">
        <v>5.8</v>
      </c>
      <c r="I26" s="11" t="s">
        <v>49</v>
      </c>
      <c r="J26" s="11"/>
      <c r="K26" s="7" t="s">
        <v>11</v>
      </c>
      <c r="L26" s="7" t="s">
        <v>48</v>
      </c>
    </row>
    <row r="27" spans="2:12" ht="15" thickTop="1">
      <c r="B27" s="17" t="s">
        <v>43</v>
      </c>
      <c r="C27" s="17">
        <v>152</v>
      </c>
      <c r="D27" s="17">
        <v>3.57</v>
      </c>
      <c r="E27" s="17">
        <v>9.5</v>
      </c>
      <c r="F27" s="17">
        <v>8.8000000000000007</v>
      </c>
      <c r="G27" s="17">
        <v>1.5</v>
      </c>
      <c r="I27" s="5" t="s">
        <v>39</v>
      </c>
      <c r="J27" s="5"/>
      <c r="K27" s="2" t="s">
        <v>5</v>
      </c>
      <c r="L27" s="12" t="s">
        <v>50</v>
      </c>
    </row>
    <row r="28" spans="2:12">
      <c r="B28" s="17" t="s">
        <v>44</v>
      </c>
      <c r="C28" s="17">
        <v>176</v>
      </c>
      <c r="D28" s="17">
        <v>4.0999999999999996</v>
      </c>
      <c r="E28" s="17">
        <v>3.7</v>
      </c>
      <c r="F28" s="17">
        <v>7.3</v>
      </c>
      <c r="G28" s="17">
        <v>2</v>
      </c>
      <c r="I28" s="5" t="s">
        <v>38</v>
      </c>
      <c r="J28" s="5"/>
      <c r="K28" s="2" t="s">
        <v>6</v>
      </c>
      <c r="L28" s="13" t="s">
        <v>50</v>
      </c>
    </row>
    <row r="29" spans="2:12">
      <c r="B29" s="17" t="s">
        <v>45</v>
      </c>
      <c r="C29" s="17">
        <v>153</v>
      </c>
      <c r="D29" s="17">
        <v>3.53</v>
      </c>
      <c r="E29" s="17">
        <v>3</v>
      </c>
      <c r="F29" s="17">
        <v>5.9</v>
      </c>
      <c r="G29" s="17">
        <v>6.5</v>
      </c>
      <c r="I29" s="5" t="s">
        <v>41</v>
      </c>
      <c r="J29" s="5"/>
      <c r="K29" s="2" t="s">
        <v>8</v>
      </c>
      <c r="L29" s="2" t="s">
        <v>50</v>
      </c>
    </row>
    <row r="30" spans="2:12">
      <c r="B30" s="18" t="s">
        <v>46</v>
      </c>
      <c r="C30" s="18">
        <v>128</v>
      </c>
      <c r="D30" s="18">
        <v>3.83</v>
      </c>
      <c r="E30" s="18">
        <v>4.3</v>
      </c>
      <c r="F30" s="18">
        <v>2.4</v>
      </c>
      <c r="G30" s="18">
        <v>9.1999999999999993</v>
      </c>
      <c r="I30" s="5" t="s">
        <v>40</v>
      </c>
      <c r="J30" s="5"/>
      <c r="K30" s="2" t="s">
        <v>7</v>
      </c>
      <c r="L30" s="14" t="s">
        <v>50</v>
      </c>
    </row>
  </sheetData>
  <mergeCells count="16">
    <mergeCell ref="I2:L2"/>
    <mergeCell ref="B2:G2"/>
    <mergeCell ref="I20:J20"/>
    <mergeCell ref="I21:J21"/>
    <mergeCell ref="I22:J22"/>
    <mergeCell ref="I23:J23"/>
    <mergeCell ref="I4:L4"/>
    <mergeCell ref="I19:J19"/>
    <mergeCell ref="I11:L11"/>
    <mergeCell ref="I27:J27"/>
    <mergeCell ref="I28:J28"/>
    <mergeCell ref="I29:J29"/>
    <mergeCell ref="I30:J30"/>
    <mergeCell ref="I26:J26"/>
    <mergeCell ref="I18:L18"/>
    <mergeCell ref="I25:L25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D0F4-8FC0-4FB4-A7BF-01090C2C5CC2}">
  <dimension ref="B2:T19"/>
  <sheetViews>
    <sheetView zoomScale="120" zoomScaleNormal="120" workbookViewId="0"/>
  </sheetViews>
  <sheetFormatPr defaultRowHeight="14.4"/>
  <cols>
    <col min="1" max="1" width="3.77734375" style="1" customWidth="1"/>
    <col min="2" max="5" width="10.77734375" style="1" customWidth="1"/>
    <col min="6" max="8" width="8.88671875" style="1"/>
    <col min="9" max="9" width="19.44140625" style="1" bestFit="1" customWidth="1"/>
    <col min="10" max="10" width="3.77734375" style="1" customWidth="1"/>
    <col min="11" max="15" width="8.88671875" style="1"/>
    <col min="16" max="16" width="3.77734375" style="1" customWidth="1"/>
    <col min="17" max="16384" width="8.88671875" style="1"/>
  </cols>
  <sheetData>
    <row r="2" spans="2:20" ht="18">
      <c r="B2" s="43" t="s">
        <v>55</v>
      </c>
      <c r="C2" s="43"/>
      <c r="D2" s="43"/>
      <c r="E2" s="43"/>
      <c r="F2" s="43"/>
      <c r="G2" s="43"/>
      <c r="H2" s="43"/>
      <c r="I2" s="43"/>
      <c r="K2" s="43" t="s">
        <v>58</v>
      </c>
      <c r="L2" s="43"/>
      <c r="M2" s="43"/>
      <c r="N2" s="43"/>
      <c r="O2" s="43"/>
    </row>
    <row r="3" spans="2:20">
      <c r="B3" s="2"/>
      <c r="C3" s="2"/>
      <c r="D3" s="2"/>
      <c r="E3" s="2"/>
    </row>
    <row r="4" spans="2:20" ht="15" thickBot="1">
      <c r="B4" s="9" t="s">
        <v>56</v>
      </c>
      <c r="C4" s="9" t="s">
        <v>52</v>
      </c>
      <c r="D4" s="9" t="s">
        <v>53</v>
      </c>
      <c r="E4" s="9" t="s">
        <v>54</v>
      </c>
      <c r="F4" s="9" t="s">
        <v>57</v>
      </c>
      <c r="G4" s="9" t="s">
        <v>75</v>
      </c>
      <c r="H4" s="9" t="s">
        <v>78</v>
      </c>
      <c r="I4" s="9" t="s">
        <v>79</v>
      </c>
      <c r="K4" s="19" t="s">
        <v>59</v>
      </c>
      <c r="L4" s="19"/>
      <c r="M4" s="19"/>
      <c r="N4" s="19"/>
      <c r="O4" s="19"/>
      <c r="Q4" s="8" t="s">
        <v>48</v>
      </c>
      <c r="R4" s="8"/>
      <c r="S4" s="8"/>
      <c r="T4" s="8"/>
    </row>
    <row r="5" spans="2:20" ht="15" thickTop="1">
      <c r="B5" s="16" t="s">
        <v>61</v>
      </c>
      <c r="C5" s="16">
        <v>53</v>
      </c>
      <c r="D5" s="16">
        <v>43</v>
      </c>
      <c r="E5" s="16">
        <v>51</v>
      </c>
      <c r="F5" s="16">
        <f>SUM(C5:E5)</f>
        <v>147</v>
      </c>
      <c r="G5" s="16"/>
      <c r="H5" s="16"/>
      <c r="I5" s="16"/>
      <c r="K5" s="20" t="s">
        <v>60</v>
      </c>
      <c r="L5" s="20"/>
      <c r="M5" s="20"/>
      <c r="N5" s="20"/>
      <c r="O5" s="20"/>
      <c r="Q5" s="26" t="s">
        <v>106</v>
      </c>
      <c r="R5" s="26"/>
      <c r="S5" s="26"/>
      <c r="T5" s="26"/>
    </row>
    <row r="6" spans="2:20">
      <c r="B6" s="17" t="s">
        <v>62</v>
      </c>
      <c r="C6" s="17">
        <v>27</v>
      </c>
      <c r="D6" s="17">
        <v>43</v>
      </c>
      <c r="E6" s="17">
        <v>35</v>
      </c>
      <c r="F6" s="17">
        <f>SUM(C6:E6)</f>
        <v>105</v>
      </c>
      <c r="G6" s="17"/>
      <c r="H6" s="17"/>
      <c r="I6" s="17"/>
      <c r="K6" s="21"/>
      <c r="L6" s="21"/>
      <c r="M6" s="21"/>
      <c r="N6" s="21"/>
      <c r="O6" s="21"/>
    </row>
    <row r="7" spans="2:20">
      <c r="B7" s="17" t="s">
        <v>63</v>
      </c>
      <c r="C7" s="17">
        <v>47</v>
      </c>
      <c r="D7" s="17">
        <v>47</v>
      </c>
      <c r="E7" s="17">
        <v>44</v>
      </c>
      <c r="F7" s="17">
        <f t="shared" ref="F7:F18" si="0">SUM(C7:E7)</f>
        <v>138</v>
      </c>
      <c r="G7" s="17"/>
      <c r="H7" s="17"/>
      <c r="I7" s="17"/>
      <c r="K7" s="3"/>
      <c r="L7" s="3"/>
      <c r="M7" s="3"/>
      <c r="N7" s="3"/>
      <c r="O7" s="3"/>
    </row>
    <row r="8" spans="2:20" ht="15" thickBot="1">
      <c r="B8" s="17" t="s">
        <v>64</v>
      </c>
      <c r="C8" s="17">
        <v>41</v>
      </c>
      <c r="D8" s="17">
        <v>41</v>
      </c>
      <c r="E8" s="17">
        <v>40</v>
      </c>
      <c r="F8" s="17">
        <f t="shared" si="0"/>
        <v>122</v>
      </c>
      <c r="G8" s="17"/>
      <c r="H8" s="17"/>
      <c r="I8" s="17"/>
      <c r="K8" s="19" t="s">
        <v>76</v>
      </c>
      <c r="L8" s="19"/>
      <c r="M8" s="19"/>
      <c r="N8" s="19"/>
      <c r="O8" s="19"/>
    </row>
    <row r="9" spans="2:20" ht="15.6" customHeight="1" thickTop="1">
      <c r="B9" s="17" t="s">
        <v>65</v>
      </c>
      <c r="C9" s="17">
        <v>46</v>
      </c>
      <c r="D9" s="17">
        <v>45</v>
      </c>
      <c r="E9" s="17">
        <v>38</v>
      </c>
      <c r="F9" s="17">
        <f t="shared" si="0"/>
        <v>129</v>
      </c>
      <c r="G9" s="17"/>
      <c r="H9" s="17"/>
      <c r="I9" s="17"/>
      <c r="K9" s="20" t="s">
        <v>81</v>
      </c>
      <c r="L9" s="20"/>
      <c r="M9" s="20"/>
      <c r="N9" s="20"/>
      <c r="O9" s="20"/>
    </row>
    <row r="10" spans="2:20">
      <c r="B10" s="17" t="s">
        <v>66</v>
      </c>
      <c r="C10" s="17">
        <v>62</v>
      </c>
      <c r="D10" s="17">
        <v>34</v>
      </c>
      <c r="E10" s="17">
        <v>36</v>
      </c>
      <c r="F10" s="17">
        <f t="shared" si="0"/>
        <v>132</v>
      </c>
      <c r="G10" s="17"/>
      <c r="H10" s="17"/>
      <c r="I10" s="17"/>
      <c r="K10" s="21"/>
      <c r="L10" s="21"/>
      <c r="M10" s="21"/>
      <c r="N10" s="21"/>
      <c r="O10" s="21"/>
    </row>
    <row r="11" spans="2:20">
      <c r="B11" s="17" t="s">
        <v>67</v>
      </c>
      <c r="C11" s="17">
        <v>44</v>
      </c>
      <c r="D11" s="17">
        <v>62</v>
      </c>
      <c r="E11" s="17">
        <v>53</v>
      </c>
      <c r="F11" s="17">
        <f t="shared" si="0"/>
        <v>159</v>
      </c>
      <c r="G11" s="17"/>
      <c r="H11" s="17"/>
      <c r="I11" s="17"/>
      <c r="K11" s="22"/>
      <c r="L11" s="22"/>
      <c r="M11" s="22"/>
      <c r="N11" s="22"/>
      <c r="O11" s="22"/>
    </row>
    <row r="12" spans="2:20" ht="15" thickBot="1">
      <c r="B12" s="17" t="s">
        <v>68</v>
      </c>
      <c r="C12" s="17">
        <v>62</v>
      </c>
      <c r="D12" s="17">
        <v>39</v>
      </c>
      <c r="E12" s="17">
        <v>34</v>
      </c>
      <c r="F12" s="17">
        <f t="shared" si="0"/>
        <v>135</v>
      </c>
      <c r="G12" s="17"/>
      <c r="H12" s="17"/>
      <c r="I12" s="17"/>
      <c r="K12" s="19" t="s">
        <v>77</v>
      </c>
      <c r="L12" s="19"/>
      <c r="M12" s="19"/>
      <c r="N12" s="19"/>
      <c r="O12" s="19"/>
    </row>
    <row r="13" spans="2:20" ht="15" thickTop="1">
      <c r="B13" s="17" t="s">
        <v>69</v>
      </c>
      <c r="C13" s="17">
        <v>64</v>
      </c>
      <c r="D13" s="17">
        <v>40</v>
      </c>
      <c r="E13" s="17">
        <v>32</v>
      </c>
      <c r="F13" s="17">
        <f t="shared" si="0"/>
        <v>136</v>
      </c>
      <c r="G13" s="17"/>
      <c r="H13" s="17"/>
      <c r="I13" s="17"/>
      <c r="K13" s="20" t="s">
        <v>80</v>
      </c>
      <c r="L13" s="20"/>
      <c r="M13" s="20"/>
      <c r="N13" s="20"/>
      <c r="O13" s="20"/>
    </row>
    <row r="14" spans="2:20">
      <c r="B14" s="17" t="s">
        <v>70</v>
      </c>
      <c r="C14" s="17">
        <v>51</v>
      </c>
      <c r="D14" s="17">
        <v>42</v>
      </c>
      <c r="E14" s="17">
        <v>58</v>
      </c>
      <c r="F14" s="17">
        <f t="shared" si="0"/>
        <v>151</v>
      </c>
      <c r="G14" s="17"/>
      <c r="H14" s="17"/>
      <c r="I14" s="17"/>
      <c r="K14" s="21"/>
      <c r="L14" s="21"/>
      <c r="M14" s="21"/>
      <c r="N14" s="21"/>
      <c r="O14" s="21"/>
    </row>
    <row r="15" spans="2:20">
      <c r="B15" s="17" t="s">
        <v>71</v>
      </c>
      <c r="C15" s="17">
        <v>52</v>
      </c>
      <c r="D15" s="17">
        <v>51</v>
      </c>
      <c r="E15" s="17">
        <v>48</v>
      </c>
      <c r="F15" s="17">
        <f t="shared" si="0"/>
        <v>151</v>
      </c>
      <c r="G15" s="17"/>
      <c r="H15" s="17"/>
      <c r="I15" s="17"/>
    </row>
    <row r="16" spans="2:20" ht="15" thickBot="1">
      <c r="B16" s="17" t="s">
        <v>72</v>
      </c>
      <c r="C16" s="17">
        <v>35</v>
      </c>
      <c r="D16" s="17">
        <v>54</v>
      </c>
      <c r="E16" s="17">
        <v>77</v>
      </c>
      <c r="F16" s="17">
        <f t="shared" si="0"/>
        <v>166</v>
      </c>
      <c r="G16" s="17"/>
      <c r="H16" s="17"/>
      <c r="I16" s="17"/>
      <c r="K16" s="19" t="s">
        <v>82</v>
      </c>
      <c r="L16" s="19"/>
      <c r="M16" s="19"/>
      <c r="N16" s="19"/>
      <c r="O16" s="19"/>
    </row>
    <row r="17" spans="2:15" ht="15" thickTop="1">
      <c r="B17" s="17" t="s">
        <v>73</v>
      </c>
      <c r="C17" s="17">
        <v>45</v>
      </c>
      <c r="D17" s="17">
        <v>43</v>
      </c>
      <c r="E17" s="17">
        <v>47</v>
      </c>
      <c r="F17" s="17">
        <f t="shared" si="0"/>
        <v>135</v>
      </c>
      <c r="G17" s="17"/>
      <c r="H17" s="17"/>
      <c r="I17" s="17"/>
      <c r="K17" s="20" t="s">
        <v>83</v>
      </c>
      <c r="L17" s="20"/>
      <c r="M17" s="20"/>
      <c r="N17" s="20"/>
      <c r="O17" s="20"/>
    </row>
    <row r="18" spans="2:15">
      <c r="B18" s="17" t="s">
        <v>74</v>
      </c>
      <c r="C18" s="17">
        <v>33</v>
      </c>
      <c r="D18" s="17">
        <v>37</v>
      </c>
      <c r="E18" s="17">
        <v>55</v>
      </c>
      <c r="F18" s="17">
        <f t="shared" si="0"/>
        <v>125</v>
      </c>
      <c r="G18" s="17"/>
      <c r="H18" s="17"/>
      <c r="I18" s="17"/>
      <c r="K18" s="21"/>
      <c r="L18" s="21"/>
      <c r="M18" s="21"/>
      <c r="N18" s="21"/>
      <c r="O18" s="21"/>
    </row>
    <row r="19" spans="2:15">
      <c r="B19" s="10"/>
    </row>
  </sheetData>
  <mergeCells count="12">
    <mergeCell ref="K12:O12"/>
    <mergeCell ref="K13:O14"/>
    <mergeCell ref="B2:I2"/>
    <mergeCell ref="K16:O16"/>
    <mergeCell ref="K17:O18"/>
    <mergeCell ref="Q4:T4"/>
    <mergeCell ref="Q5:T5"/>
    <mergeCell ref="K2:O2"/>
    <mergeCell ref="K4:O4"/>
    <mergeCell ref="K5:O6"/>
    <mergeCell ref="K8:O8"/>
    <mergeCell ref="K9:O10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917B-C6E4-41D4-9224-7F721C8F59A5}">
  <dimension ref="B2:J19"/>
  <sheetViews>
    <sheetView zoomScale="120" zoomScaleNormal="120" workbookViewId="0"/>
  </sheetViews>
  <sheetFormatPr defaultRowHeight="14.4"/>
  <cols>
    <col min="1" max="1" width="3.77734375" style="2" customWidth="1"/>
    <col min="2" max="5" width="12.77734375" style="2" customWidth="1"/>
    <col min="6" max="6" width="3.77734375" style="2" customWidth="1"/>
    <col min="7" max="16384" width="8.88671875" style="2"/>
  </cols>
  <sheetData>
    <row r="2" spans="2:10" ht="18">
      <c r="B2" s="43" t="s">
        <v>102</v>
      </c>
      <c r="C2" s="43"/>
      <c r="D2" s="43"/>
      <c r="E2" s="43"/>
      <c r="G2" s="43" t="s">
        <v>105</v>
      </c>
      <c r="H2" s="43"/>
      <c r="I2" s="43"/>
      <c r="J2" s="43"/>
    </row>
    <row r="3" spans="2:10">
      <c r="B3" s="15"/>
      <c r="C3" s="15"/>
      <c r="D3" s="15"/>
      <c r="E3" s="15"/>
    </row>
    <row r="4" spans="2:10" ht="15" thickBot="1">
      <c r="B4" s="9" t="s">
        <v>51</v>
      </c>
      <c r="C4" s="9" t="s">
        <v>84</v>
      </c>
      <c r="D4" s="9" t="s">
        <v>85</v>
      </c>
      <c r="E4" s="9" t="s">
        <v>86</v>
      </c>
      <c r="G4" s="8" t="s">
        <v>103</v>
      </c>
      <c r="H4" s="8"/>
      <c r="I4" s="8"/>
      <c r="J4" s="8"/>
    </row>
    <row r="5" spans="2:10" ht="15" thickTop="1">
      <c r="B5" s="16" t="s">
        <v>87</v>
      </c>
      <c r="C5" s="16" t="s">
        <v>131</v>
      </c>
      <c r="D5" s="16" t="s">
        <v>131</v>
      </c>
      <c r="E5" s="16" t="s">
        <v>132</v>
      </c>
      <c r="G5" s="23" t="s">
        <v>104</v>
      </c>
      <c r="H5" s="23"/>
      <c r="I5" s="23"/>
      <c r="J5" s="23"/>
    </row>
    <row r="6" spans="2:10">
      <c r="B6" s="17" t="s">
        <v>88</v>
      </c>
      <c r="C6" s="17" t="s">
        <v>131</v>
      </c>
      <c r="D6" s="17" t="s">
        <v>131</v>
      </c>
      <c r="E6" s="17" t="s">
        <v>131</v>
      </c>
      <c r="G6" s="24"/>
      <c r="H6" s="24"/>
      <c r="I6" s="24"/>
      <c r="J6" s="24"/>
    </row>
    <row r="7" spans="2:10">
      <c r="B7" s="17" t="s">
        <v>89</v>
      </c>
      <c r="C7" s="17" t="s">
        <v>131</v>
      </c>
      <c r="D7" s="17" t="s">
        <v>131</v>
      </c>
      <c r="E7" s="17" t="s">
        <v>131</v>
      </c>
    </row>
    <row r="8" spans="2:10" ht="15" thickBot="1">
      <c r="B8" s="17" t="s">
        <v>90</v>
      </c>
      <c r="C8" s="17" t="s">
        <v>131</v>
      </c>
      <c r="D8" s="17" t="s">
        <v>131</v>
      </c>
      <c r="E8" s="17" t="s">
        <v>131</v>
      </c>
      <c r="G8" s="8" t="s">
        <v>48</v>
      </c>
      <c r="H8" s="8"/>
      <c r="I8" s="8"/>
      <c r="J8" s="8"/>
    </row>
    <row r="9" spans="2:10" ht="15" thickTop="1">
      <c r="B9" s="17" t="s">
        <v>91</v>
      </c>
      <c r="C9" s="17" t="s">
        <v>132</v>
      </c>
      <c r="D9" s="17" t="s">
        <v>131</v>
      </c>
      <c r="E9" s="17" t="s">
        <v>131</v>
      </c>
      <c r="G9" s="25" t="s">
        <v>106</v>
      </c>
      <c r="H9" s="25"/>
      <c r="I9" s="25"/>
      <c r="J9" s="25"/>
    </row>
    <row r="10" spans="2:10">
      <c r="B10" s="17" t="s">
        <v>92</v>
      </c>
      <c r="C10" s="17" t="s">
        <v>131</v>
      </c>
      <c r="D10" s="17" t="s">
        <v>131</v>
      </c>
      <c r="E10" s="17" t="s">
        <v>131</v>
      </c>
    </row>
    <row r="11" spans="2:10">
      <c r="B11" s="17" t="s">
        <v>93</v>
      </c>
      <c r="C11" s="17" t="s">
        <v>131</v>
      </c>
      <c r="D11" s="17" t="s">
        <v>131</v>
      </c>
      <c r="E11" s="17" t="s">
        <v>131</v>
      </c>
    </row>
    <row r="12" spans="2:10">
      <c r="B12" s="17" t="s">
        <v>94</v>
      </c>
      <c r="C12" s="17" t="s">
        <v>131</v>
      </c>
      <c r="D12" s="17" t="s">
        <v>131</v>
      </c>
      <c r="E12" s="17" t="s">
        <v>131</v>
      </c>
    </row>
    <row r="13" spans="2:10">
      <c r="B13" s="17" t="s">
        <v>95</v>
      </c>
      <c r="C13" s="17" t="s">
        <v>131</v>
      </c>
      <c r="D13" s="17" t="s">
        <v>131</v>
      </c>
      <c r="E13" s="17" t="s">
        <v>131</v>
      </c>
    </row>
    <row r="14" spans="2:10">
      <c r="B14" s="17" t="s">
        <v>96</v>
      </c>
      <c r="C14" s="17" t="s">
        <v>131</v>
      </c>
      <c r="D14" s="17" t="s">
        <v>131</v>
      </c>
      <c r="E14" s="17" t="s">
        <v>131</v>
      </c>
    </row>
    <row r="15" spans="2:10">
      <c r="B15" s="17" t="s">
        <v>97</v>
      </c>
      <c r="C15" s="17" t="s">
        <v>132</v>
      </c>
      <c r="D15" s="17" t="s">
        <v>131</v>
      </c>
      <c r="E15" s="17" t="s">
        <v>131</v>
      </c>
    </row>
    <row r="16" spans="2:10">
      <c r="B16" s="17" t="s">
        <v>98</v>
      </c>
      <c r="C16" s="17" t="s">
        <v>131</v>
      </c>
      <c r="D16" s="17" t="s">
        <v>131</v>
      </c>
      <c r="E16" s="17" t="s">
        <v>131</v>
      </c>
    </row>
    <row r="17" spans="2:5">
      <c r="B17" s="17" t="s">
        <v>99</v>
      </c>
      <c r="C17" s="17" t="s">
        <v>131</v>
      </c>
      <c r="D17" s="17" t="s">
        <v>131</v>
      </c>
      <c r="E17" s="17" t="s">
        <v>131</v>
      </c>
    </row>
    <row r="18" spans="2:5">
      <c r="B18" s="17" t="s">
        <v>100</v>
      </c>
      <c r="C18" s="17" t="s">
        <v>132</v>
      </c>
      <c r="D18" s="17" t="s">
        <v>131</v>
      </c>
      <c r="E18" s="17" t="s">
        <v>131</v>
      </c>
    </row>
    <row r="19" spans="2:5">
      <c r="B19" s="17" t="s">
        <v>101</v>
      </c>
      <c r="C19" s="17" t="s">
        <v>132</v>
      </c>
      <c r="D19" s="17" t="s">
        <v>131</v>
      </c>
      <c r="E19" s="17" t="s">
        <v>131</v>
      </c>
    </row>
  </sheetData>
  <mergeCells count="6">
    <mergeCell ref="B2:E2"/>
    <mergeCell ref="G4:J4"/>
    <mergeCell ref="G5:J6"/>
    <mergeCell ref="G2:J2"/>
    <mergeCell ref="G9:J9"/>
    <mergeCell ref="G8:J8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AAD6-F89F-4328-A15B-E9C627808D83}">
  <dimension ref="B2:H16"/>
  <sheetViews>
    <sheetView zoomScale="120" zoomScaleNormal="120" workbookViewId="0"/>
  </sheetViews>
  <sheetFormatPr defaultRowHeight="14.4"/>
  <cols>
    <col min="1" max="1" width="3.77734375" style="33" customWidth="1"/>
    <col min="2" max="2" width="16.77734375" style="33" customWidth="1"/>
    <col min="3" max="8" width="15.77734375" style="33" customWidth="1"/>
    <col min="9" max="16384" width="8.88671875" style="33"/>
  </cols>
  <sheetData>
    <row r="2" spans="2:8" ht="18">
      <c r="B2" s="44" t="s">
        <v>125</v>
      </c>
      <c r="C2" s="44"/>
      <c r="D2" s="44"/>
      <c r="E2" s="44"/>
      <c r="F2" s="44"/>
      <c r="G2" s="44"/>
      <c r="H2" s="44"/>
    </row>
    <row r="4" spans="2:8">
      <c r="B4" s="34" t="s">
        <v>119</v>
      </c>
      <c r="C4" s="35" t="s">
        <v>120</v>
      </c>
      <c r="D4" s="35" t="s">
        <v>121</v>
      </c>
      <c r="E4" s="35" t="s">
        <v>122</v>
      </c>
      <c r="F4" s="36" t="s">
        <v>123</v>
      </c>
      <c r="G4" s="36"/>
      <c r="H4" s="35" t="s">
        <v>124</v>
      </c>
    </row>
    <row r="5" spans="2:8">
      <c r="B5" s="37" t="s">
        <v>107</v>
      </c>
      <c r="C5" s="38">
        <v>2700000</v>
      </c>
      <c r="D5" s="38">
        <v>2457000</v>
      </c>
      <c r="E5" s="39">
        <f>D5/C5</f>
        <v>0.91</v>
      </c>
      <c r="F5" s="40">
        <v>280000</v>
      </c>
      <c r="G5" s="38"/>
      <c r="H5" s="41">
        <f>F5/D5</f>
        <v>0.11396011396011396</v>
      </c>
    </row>
    <row r="6" spans="2:8">
      <c r="B6" s="37" t="s">
        <v>108</v>
      </c>
      <c r="C6" s="38">
        <v>2800000</v>
      </c>
      <c r="D6" s="38">
        <v>1288000</v>
      </c>
      <c r="E6" s="39">
        <f>D6/C6</f>
        <v>0.46</v>
      </c>
      <c r="F6" s="40">
        <v>590000</v>
      </c>
      <c r="G6" s="38"/>
      <c r="H6" s="41">
        <f>F6/D6</f>
        <v>0.45807453416149069</v>
      </c>
    </row>
    <row r="7" spans="2:8">
      <c r="B7" s="37" t="s">
        <v>109</v>
      </c>
      <c r="C7" s="38">
        <v>2400000</v>
      </c>
      <c r="D7" s="38">
        <v>1200000</v>
      </c>
      <c r="E7" s="39">
        <f>D7/C7</f>
        <v>0.5</v>
      </c>
      <c r="F7" s="40">
        <v>-390000</v>
      </c>
      <c r="G7" s="38"/>
      <c r="H7" s="41">
        <f>F7/D7</f>
        <v>-0.32500000000000001</v>
      </c>
    </row>
    <row r="8" spans="2:8">
      <c r="B8" s="37" t="s">
        <v>110</v>
      </c>
      <c r="C8" s="38">
        <v>2500000</v>
      </c>
      <c r="D8" s="38">
        <v>2450000</v>
      </c>
      <c r="E8" s="39">
        <f>D8/C8</f>
        <v>0.98</v>
      </c>
      <c r="F8" s="40">
        <v>310000</v>
      </c>
      <c r="G8" s="38"/>
      <c r="H8" s="41">
        <f>F8/D8</f>
        <v>0.12653061224489795</v>
      </c>
    </row>
    <row r="9" spans="2:8">
      <c r="B9" s="37" t="s">
        <v>111</v>
      </c>
      <c r="C9" s="38">
        <v>2000000</v>
      </c>
      <c r="D9" s="38">
        <v>1440000</v>
      </c>
      <c r="E9" s="39">
        <f>D9/C9</f>
        <v>0.72</v>
      </c>
      <c r="F9" s="40">
        <v>170000</v>
      </c>
      <c r="G9" s="38"/>
      <c r="H9" s="41">
        <f>F9/D9</f>
        <v>0.11805555555555555</v>
      </c>
    </row>
    <row r="10" spans="2:8">
      <c r="B10" s="37" t="s">
        <v>112</v>
      </c>
      <c r="C10" s="38">
        <v>2300000</v>
      </c>
      <c r="D10" s="38">
        <v>2001000</v>
      </c>
      <c r="E10" s="39">
        <f>D10/C10</f>
        <v>0.87</v>
      </c>
      <c r="F10" s="40">
        <v>-350000</v>
      </c>
      <c r="G10" s="38"/>
      <c r="H10" s="41">
        <f>F10/D10</f>
        <v>-0.17491254372813594</v>
      </c>
    </row>
    <row r="11" spans="2:8">
      <c r="B11" s="37" t="s">
        <v>113</v>
      </c>
      <c r="C11" s="38">
        <v>2300000</v>
      </c>
      <c r="D11" s="38">
        <v>2323000</v>
      </c>
      <c r="E11" s="39">
        <f>D11/C11</f>
        <v>1.01</v>
      </c>
      <c r="F11" s="40">
        <v>-400000</v>
      </c>
      <c r="G11" s="38"/>
      <c r="H11" s="41">
        <f>F11/D11</f>
        <v>-0.17219113215669393</v>
      </c>
    </row>
    <row r="12" spans="2:8">
      <c r="B12" s="37" t="s">
        <v>114</v>
      </c>
      <c r="C12" s="38">
        <v>2000000</v>
      </c>
      <c r="D12" s="38">
        <v>1440000</v>
      </c>
      <c r="E12" s="39">
        <f>D12/C12</f>
        <v>0.72</v>
      </c>
      <c r="F12" s="40">
        <v>420000</v>
      </c>
      <c r="G12" s="38"/>
      <c r="H12" s="41">
        <f>F12/D12</f>
        <v>0.29166666666666669</v>
      </c>
    </row>
    <row r="13" spans="2:8">
      <c r="B13" s="37" t="s">
        <v>115</v>
      </c>
      <c r="C13" s="38">
        <v>2200000</v>
      </c>
      <c r="D13" s="38">
        <v>1892000</v>
      </c>
      <c r="E13" s="39">
        <f>D13/C13</f>
        <v>0.86</v>
      </c>
      <c r="F13" s="40">
        <v>130000</v>
      </c>
      <c r="G13" s="38"/>
      <c r="H13" s="41">
        <f>F13/D13</f>
        <v>6.8710359408033828E-2</v>
      </c>
    </row>
    <row r="14" spans="2:8">
      <c r="B14" s="37" t="s">
        <v>116</v>
      </c>
      <c r="C14" s="38">
        <v>2500000</v>
      </c>
      <c r="D14" s="38">
        <v>2824999.9999999995</v>
      </c>
      <c r="E14" s="39">
        <f>D14/C14</f>
        <v>1.1299999999999999</v>
      </c>
      <c r="F14" s="40">
        <v>70000</v>
      </c>
      <c r="G14" s="38"/>
      <c r="H14" s="41">
        <f>F14/D14</f>
        <v>2.4778761061946906E-2</v>
      </c>
    </row>
    <row r="15" spans="2:8">
      <c r="B15" s="37" t="s">
        <v>117</v>
      </c>
      <c r="C15" s="38">
        <v>2100000</v>
      </c>
      <c r="D15" s="38">
        <v>2121000</v>
      </c>
      <c r="E15" s="39">
        <f>D15/C15</f>
        <v>1.01</v>
      </c>
      <c r="F15" s="40">
        <v>370000</v>
      </c>
      <c r="G15" s="38"/>
      <c r="H15" s="41">
        <f>F15/D15</f>
        <v>0.17444601603017446</v>
      </c>
    </row>
    <row r="16" spans="2:8">
      <c r="B16" s="37" t="s">
        <v>118</v>
      </c>
      <c r="C16" s="38">
        <v>3200000</v>
      </c>
      <c r="D16" s="38">
        <v>1855999.9999999998</v>
      </c>
      <c r="E16" s="39">
        <f>D16/C16</f>
        <v>0.57999999999999996</v>
      </c>
      <c r="F16" s="40">
        <v>30000</v>
      </c>
      <c r="G16" s="38"/>
      <c r="H16" s="41">
        <f>F16/D16</f>
        <v>1.6163793103448277E-2</v>
      </c>
    </row>
  </sheetData>
  <mergeCells count="2">
    <mergeCell ref="B2:H2"/>
    <mergeCell ref="F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8F55-DF5A-4A4A-8064-5D549F4C5249}">
  <dimension ref="B1:G16"/>
  <sheetViews>
    <sheetView zoomScale="120" zoomScaleNormal="120" workbookViewId="0"/>
  </sheetViews>
  <sheetFormatPr defaultRowHeight="30" customHeight="1"/>
  <cols>
    <col min="1" max="1" width="3.77734375" style="1" customWidth="1"/>
    <col min="2" max="7" width="20.77734375" style="1" customWidth="1"/>
    <col min="8" max="16384" width="8.88671875" style="1"/>
  </cols>
  <sheetData>
    <row r="1" spans="2:7" ht="14.85" customHeight="1" thickBot="1"/>
    <row r="2" spans="2:7" ht="30" customHeight="1" thickBot="1">
      <c r="B2" s="27" t="s">
        <v>125</v>
      </c>
      <c r="C2" s="27"/>
      <c r="D2" s="27"/>
      <c r="E2" s="27"/>
      <c r="F2" s="27"/>
      <c r="G2" s="27"/>
    </row>
    <row r="3" spans="2:7" ht="14.85" customHeight="1"/>
    <row r="4" spans="2:7" ht="30" customHeight="1">
      <c r="B4" s="30" t="s">
        <v>119</v>
      </c>
      <c r="C4" s="31" t="s">
        <v>126</v>
      </c>
      <c r="D4" s="31" t="s">
        <v>127</v>
      </c>
      <c r="E4" s="31" t="s">
        <v>128</v>
      </c>
      <c r="F4" s="31" t="s">
        <v>129</v>
      </c>
      <c r="G4" s="31" t="s">
        <v>130</v>
      </c>
    </row>
    <row r="5" spans="2:7" ht="30" customHeight="1">
      <c r="B5" s="28" t="s">
        <v>107</v>
      </c>
      <c r="C5" s="29">
        <v>9625.6418898288994</v>
      </c>
      <c r="D5" s="29">
        <v>9172.0890801174719</v>
      </c>
      <c r="E5" s="29">
        <v>10358.59081274597</v>
      </c>
      <c r="F5" s="29">
        <v>11965.901383283708</v>
      </c>
      <c r="G5" s="32"/>
    </row>
    <row r="6" spans="2:7" ht="30" customHeight="1">
      <c r="B6" s="28" t="s">
        <v>108</v>
      </c>
      <c r="C6" s="29">
        <v>9911.094923342469</v>
      </c>
      <c r="D6" s="29">
        <v>10180.620501965752</v>
      </c>
      <c r="E6" s="29">
        <v>9833.0421029758145</v>
      </c>
      <c r="F6" s="29">
        <v>11039.659280042455</v>
      </c>
      <c r="G6" s="32"/>
    </row>
    <row r="7" spans="2:7" ht="30" customHeight="1">
      <c r="B7" s="28" t="s">
        <v>109</v>
      </c>
      <c r="C7" s="29">
        <v>8620.3320539569431</v>
      </c>
      <c r="D7" s="29">
        <v>9338.7220918139137</v>
      </c>
      <c r="E7" s="29">
        <v>9823.4603043029056</v>
      </c>
      <c r="F7" s="29">
        <v>9821.8305601470129</v>
      </c>
      <c r="G7" s="32"/>
    </row>
    <row r="8" spans="2:7" ht="30" customHeight="1">
      <c r="B8" s="28" t="s">
        <v>110</v>
      </c>
      <c r="C8" s="29">
        <v>9638.9302083625917</v>
      </c>
      <c r="D8" s="29">
        <v>8483.3228912288687</v>
      </c>
      <c r="E8" s="29">
        <v>10936.516226086009</v>
      </c>
      <c r="F8" s="29">
        <v>9378.6411310886851</v>
      </c>
      <c r="G8" s="32"/>
    </row>
    <row r="9" spans="2:7" ht="30" customHeight="1">
      <c r="B9" s="28" t="s">
        <v>111</v>
      </c>
      <c r="C9" s="29">
        <v>10799.433724514683</v>
      </c>
      <c r="D9" s="29">
        <v>10541.436988722362</v>
      </c>
      <c r="E9" s="29">
        <v>10592.077388508702</v>
      </c>
      <c r="F9" s="29">
        <v>10761.416353044782</v>
      </c>
      <c r="G9" s="32"/>
    </row>
    <row r="10" spans="2:7" ht="30" customHeight="1">
      <c r="B10" s="28" t="s">
        <v>112</v>
      </c>
      <c r="C10" s="29">
        <v>10898.755185678276</v>
      </c>
      <c r="D10" s="29">
        <v>10682.167976444196</v>
      </c>
      <c r="E10" s="29">
        <v>9499.0177816426967</v>
      </c>
      <c r="F10" s="29">
        <v>9676.9648689170554</v>
      </c>
      <c r="G10" s="32"/>
    </row>
    <row r="11" spans="2:7" ht="30" customHeight="1">
      <c r="B11" s="28" t="s">
        <v>113</v>
      </c>
      <c r="C11" s="29">
        <v>10908.328273385821</v>
      </c>
      <c r="D11" s="29">
        <v>9756.8155076527546</v>
      </c>
      <c r="E11" s="29">
        <v>9545.9071729522384</v>
      </c>
      <c r="F11" s="29">
        <v>10166.430662200966</v>
      </c>
      <c r="G11" s="32"/>
    </row>
    <row r="12" spans="2:7" ht="30" customHeight="1">
      <c r="B12" s="28" t="s">
        <v>114</v>
      </c>
      <c r="C12" s="29">
        <v>10936.814767783793</v>
      </c>
      <c r="D12" s="29">
        <v>11159.689285410348</v>
      </c>
      <c r="E12" s="29">
        <v>8566.9111808818034</v>
      </c>
      <c r="F12" s="29">
        <v>9180.0213266953178</v>
      </c>
      <c r="G12" s="32"/>
    </row>
    <row r="13" spans="2:7" ht="30" customHeight="1">
      <c r="B13" s="28" t="s">
        <v>115</v>
      </c>
      <c r="C13" s="29">
        <v>11084.882313295291</v>
      </c>
      <c r="D13" s="29">
        <v>11043.983380429778</v>
      </c>
      <c r="E13" s="29">
        <v>9717.5623592190768</v>
      </c>
      <c r="F13" s="29">
        <v>10709.034353390025</v>
      </c>
      <c r="G13" s="32"/>
    </row>
    <row r="14" spans="2:7" ht="30" customHeight="1">
      <c r="B14" s="28" t="s">
        <v>116</v>
      </c>
      <c r="C14" s="29">
        <v>9783.8483890859752</v>
      </c>
      <c r="D14" s="29">
        <v>10455.653477537047</v>
      </c>
      <c r="E14" s="29">
        <v>11870.385276206684</v>
      </c>
      <c r="F14" s="29">
        <v>11021.521246376473</v>
      </c>
      <c r="G14" s="32"/>
    </row>
    <row r="15" spans="2:7" ht="30" customHeight="1">
      <c r="B15" s="28" t="s">
        <v>117</v>
      </c>
      <c r="C15" s="29">
        <v>8676.1192659781082</v>
      </c>
      <c r="D15" s="29">
        <v>11910.906272259985</v>
      </c>
      <c r="E15" s="29">
        <v>10302.093203134147</v>
      </c>
      <c r="F15" s="29">
        <v>9114.7651235161957</v>
      </c>
      <c r="G15" s="32"/>
    </row>
    <row r="16" spans="2:7" ht="30" customHeight="1">
      <c r="B16" s="28" t="s">
        <v>118</v>
      </c>
      <c r="C16" s="29">
        <v>9026.4150933404071</v>
      </c>
      <c r="D16" s="29">
        <v>10907.55152135714</v>
      </c>
      <c r="E16" s="29">
        <v>10662.831941462697</v>
      </c>
      <c r="F16" s="29">
        <v>8871.7167390859577</v>
      </c>
      <c r="G16" s="32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LAW</vt:lpstr>
      <vt:lpstr>PUSHUP</vt:lpstr>
      <vt:lpstr>TRIATHLON</vt:lpstr>
      <vt:lpstr>SALES</vt:lpstr>
      <vt:lpstr>SALES2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Brian</dc:creator>
  <cp:lastModifiedBy>Park, Brian</cp:lastModifiedBy>
  <dcterms:created xsi:type="dcterms:W3CDTF">2023-09-10T14:36:41Z</dcterms:created>
  <dcterms:modified xsi:type="dcterms:W3CDTF">2023-10-11T01:10:46Z</dcterms:modified>
</cp:coreProperties>
</file>