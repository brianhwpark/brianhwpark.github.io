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S2024\BUSI201-S2024-Workbooks\"/>
    </mc:Choice>
  </mc:AlternateContent>
  <xr:revisionPtr revIDLastSave="0" documentId="13_ncr:1_{FAC524DB-1ABD-43D6-B7F7-D357B4158E5D}" xr6:coauthVersionLast="47" xr6:coauthVersionMax="47" xr10:uidLastSave="{00000000-0000-0000-0000-000000000000}"/>
  <bookViews>
    <workbookView xWindow="-28920" yWindow="-120" windowWidth="29040" windowHeight="15720" activeTab="7" xr2:uid="{BF17DDDA-E86E-4F22-B5A6-A404B5E9B8D6}"/>
  </bookViews>
  <sheets>
    <sheet name="2022Q3Stock" sheetId="10" r:id="rId1"/>
    <sheet name="2022Q4Stock" sheetId="9" r:id="rId2"/>
    <sheet name="2023Q1Stock" sheetId="8" r:id="rId3"/>
    <sheet name="2023Q2Stock" sheetId="7" r:id="rId4"/>
    <sheet name="2023Q3Stock" sheetId="6" r:id="rId5"/>
    <sheet name="Autofill" sheetId="11" r:id="rId6"/>
    <sheet name="Flash Fill" sheetId="12" r:id="rId7"/>
    <sheet name="Errors" sheetId="13" r:id="rId8"/>
    <sheet name="Error 1" sheetId="14" r:id="rId9"/>
    <sheet name="Error 2" sheetId="15" r:id="rId10"/>
    <sheet name="Error 3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6" l="1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G17" i="14"/>
  <c r="B8" i="13"/>
  <c r="B7" i="13"/>
  <c r="B6" i="13" a="1"/>
  <c r="B6" i="13" s="1"/>
  <c r="B5" i="13" a="1"/>
  <c r="B5" i="13" s="1"/>
  <c r="B4" i="13" a="1"/>
  <c r="B4" i="13" s="1"/>
  <c r="L5" i="12"/>
  <c r="M5" i="12"/>
  <c r="N5" i="12"/>
  <c r="O5" i="12"/>
  <c r="P5" i="12"/>
  <c r="L6" i="12"/>
  <c r="M6" i="12"/>
  <c r="N6" i="12"/>
  <c r="O6" i="12"/>
  <c r="P6" i="12"/>
  <c r="L7" i="12"/>
  <c r="M7" i="12"/>
  <c r="N7" i="12"/>
  <c r="O7" i="12"/>
  <c r="P7" i="12"/>
  <c r="L8" i="12"/>
  <c r="M8" i="12"/>
  <c r="N8" i="12"/>
  <c r="O8" i="12"/>
  <c r="P8" i="12"/>
  <c r="L9" i="12"/>
  <c r="M9" i="12"/>
  <c r="N9" i="12"/>
  <c r="O9" i="12"/>
  <c r="P9" i="12"/>
  <c r="L10" i="12"/>
  <c r="M10" i="12"/>
  <c r="N10" i="12"/>
  <c r="O10" i="12"/>
  <c r="P10" i="12"/>
  <c r="L11" i="12"/>
  <c r="M11" i="12"/>
  <c r="N11" i="12"/>
  <c r="O11" i="12"/>
  <c r="P11" i="12"/>
  <c r="H16" i="10"/>
  <c r="H15" i="10"/>
  <c r="H14" i="10"/>
  <c r="H13" i="10"/>
  <c r="H12" i="10"/>
  <c r="H11" i="10"/>
  <c r="H10" i="10"/>
  <c r="H9" i="10"/>
  <c r="H8" i="10"/>
  <c r="H7" i="10"/>
  <c r="H6" i="10"/>
  <c r="H5" i="10"/>
  <c r="H16" i="9"/>
  <c r="H15" i="9"/>
  <c r="H14" i="9"/>
  <c r="H13" i="9"/>
  <c r="H12" i="9"/>
  <c r="H11" i="9"/>
  <c r="H10" i="9"/>
  <c r="H9" i="9"/>
  <c r="H8" i="9"/>
  <c r="H7" i="9"/>
  <c r="H6" i="9"/>
  <c r="H5" i="9"/>
  <c r="H16" i="8"/>
  <c r="H15" i="8"/>
  <c r="H14" i="8"/>
  <c r="H13" i="8"/>
  <c r="H12" i="8"/>
  <c r="H11" i="8"/>
  <c r="H10" i="8"/>
  <c r="H9" i="8"/>
  <c r="H8" i="8"/>
  <c r="H7" i="8"/>
  <c r="H6" i="8"/>
  <c r="H5" i="8"/>
  <c r="H16" i="7"/>
  <c r="H15" i="7"/>
  <c r="H14" i="7"/>
  <c r="H13" i="7"/>
  <c r="H12" i="7"/>
  <c r="H11" i="7"/>
  <c r="H10" i="7"/>
  <c r="H9" i="7"/>
  <c r="H8" i="7"/>
  <c r="H7" i="7"/>
  <c r="H6" i="7"/>
  <c r="H5" i="7"/>
  <c r="H5" i="6"/>
  <c r="H6" i="6"/>
  <c r="H7" i="6"/>
  <c r="H8" i="6"/>
  <c r="H9" i="6"/>
  <c r="H10" i="6"/>
  <c r="H11" i="6"/>
  <c r="H12" i="6"/>
  <c r="H13" i="6"/>
  <c r="H14" i="6"/>
  <c r="H15" i="6"/>
  <c r="H16" i="6"/>
  <c r="H18" i="6" s="1"/>
  <c r="H18" i="7" l="1"/>
  <c r="H18" i="8"/>
  <c r="H18" i="9"/>
  <c r="H18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<sst xmlns="http://schemas.openxmlformats.org/spreadsheetml/2006/main" count="628" uniqueCount="196">
  <si>
    <t>-</t>
  </si>
  <si>
    <t>Sum</t>
  </si>
  <si>
    <t>Stapler</t>
  </si>
  <si>
    <t>Office Supplies</t>
  </si>
  <si>
    <t>Amazon Basics</t>
  </si>
  <si>
    <t>4000 Sheets</t>
  </si>
  <si>
    <t>Multipurpose Copy Printer Paper</t>
  </si>
  <si>
    <t>12 Pack</t>
  </si>
  <si>
    <t>Scotch Magic Tape</t>
  </si>
  <si>
    <t>3M</t>
  </si>
  <si>
    <t>3x3 inch, 24 Pads</t>
  </si>
  <si>
    <t>Post-it Stikcy Notes</t>
  </si>
  <si>
    <t>120 Tissues, 8 Boxes</t>
  </si>
  <si>
    <t>Kleenex Ultra Soft Facial Tissues</t>
  </si>
  <si>
    <t>Sanitary</t>
  </si>
  <si>
    <t>Kimberly-Clark</t>
  </si>
  <si>
    <t>56 fl oz</t>
  </si>
  <si>
    <t>Liquid Hand Soap Refill</t>
  </si>
  <si>
    <t>24 Rolls</t>
  </si>
  <si>
    <t>Charmin Ultra Strong Clean Touch Toilet Paper</t>
  </si>
  <si>
    <t>P&amp;G</t>
  </si>
  <si>
    <t>8 fl oz, Pack of 4</t>
  </si>
  <si>
    <t>Purell Hand Sanitizer</t>
  </si>
  <si>
    <t>GOJO</t>
  </si>
  <si>
    <t>75 count, Pack of 3</t>
  </si>
  <si>
    <t>Disinfecting Wipes</t>
  </si>
  <si>
    <t>Clorox</t>
  </si>
  <si>
    <t>Dry Block Eraser</t>
  </si>
  <si>
    <t>Whiteboard</t>
  </si>
  <si>
    <t>Expo</t>
  </si>
  <si>
    <t>22 oz</t>
  </si>
  <si>
    <t>White Board Care Cleaning Spray</t>
  </si>
  <si>
    <t>36 Count</t>
  </si>
  <si>
    <t>Low Odor Dry Erase Markers</t>
  </si>
  <si>
    <t>Val</t>
  </si>
  <si>
    <t>Price</t>
  </si>
  <si>
    <t>Quantity</t>
  </si>
  <si>
    <t>Detail</t>
  </si>
  <si>
    <t>Item</t>
  </si>
  <si>
    <t>Type</t>
  </si>
  <si>
    <t>Make</t>
  </si>
  <si>
    <t>Items in Storage: 2023Q3</t>
  </si>
  <si>
    <t>Items in Storage: 2023Q2</t>
  </si>
  <si>
    <t>Items in Storage: 2022Q3</t>
  </si>
  <si>
    <t>Items in Storage: 2022Q4</t>
  </si>
  <si>
    <t>Items in Storage: 2023Q1</t>
  </si>
  <si>
    <t>BUSI201-Lecture02</t>
  </si>
  <si>
    <t>Item 2</t>
  </si>
  <si>
    <t>Economics</t>
  </si>
  <si>
    <t>Tue</t>
  </si>
  <si>
    <t>BUSI201-Lecture01</t>
  </si>
  <si>
    <t>Item 1</t>
  </si>
  <si>
    <t>Business</t>
  </si>
  <si>
    <t>Mon</t>
  </si>
  <si>
    <t>Even More</t>
  </si>
  <si>
    <t>More</t>
  </si>
  <si>
    <t>Words</t>
  </si>
  <si>
    <t>Basic</t>
  </si>
  <si>
    <t>"Day"</t>
  </si>
  <si>
    <t>Day</t>
  </si>
  <si>
    <t>Month</t>
  </si>
  <si>
    <t>Year</t>
  </si>
  <si>
    <t>Numbers</t>
  </si>
  <si>
    <t>Date</t>
  </si>
  <si>
    <t>Autofill Exersize</t>
  </si>
  <si>
    <t>heschmidt@monmouthcollege.edu</t>
  </si>
  <si>
    <t>Rm 251 CSB</t>
  </si>
  <si>
    <t>Herb Schmidt</t>
  </si>
  <si>
    <t>(309) 457-2449</t>
  </si>
  <si>
    <t>bpark@monmouthcollege.edu</t>
  </si>
  <si>
    <t>Rm 248 CSB</t>
  </si>
  <si>
    <t>Brian Park</t>
  </si>
  <si>
    <t>309-457-2234</t>
  </si>
  <si>
    <t>tprince@monmouthcollege.edu</t>
  </si>
  <si>
    <t>Rm 259 Center for Science &amp; Business</t>
  </si>
  <si>
    <t>Tom Prince</t>
  </si>
  <si>
    <t>309-457-2182</t>
  </si>
  <si>
    <t>richardj@monmouthcollege.edu</t>
  </si>
  <si>
    <t>Rm 247 Center for Science &amp; Business</t>
  </si>
  <si>
    <t>Richard Johnston</t>
  </si>
  <si>
    <t>309-457-2156</t>
  </si>
  <si>
    <t>michaelc@monmouthcollege.edu</t>
  </si>
  <si>
    <t>Rm 258 Center for Science &amp; Business</t>
  </si>
  <si>
    <t>Michael Connell</t>
  </si>
  <si>
    <t>(309) 457-2365</t>
  </si>
  <si>
    <t>acleland@monmouthcollege.edu</t>
  </si>
  <si>
    <t>Rm 257, CSB</t>
  </si>
  <si>
    <t>Amanda Cleland</t>
  </si>
  <si>
    <t>(309) 457-2184</t>
  </si>
  <si>
    <t>sbashir@monmouthcollege.edu</t>
  </si>
  <si>
    <t>Rm 348 CSB</t>
  </si>
  <si>
    <t>Saadullah Bashir</t>
  </si>
  <si>
    <t>Using Functions…</t>
  </si>
  <si>
    <t>Extension</t>
  </si>
  <si>
    <t>Office Number</t>
  </si>
  <si>
    <t>Login ID</t>
  </si>
  <si>
    <t>Last Name</t>
  </si>
  <si>
    <t>First Name</t>
  </si>
  <si>
    <t>Phone</t>
  </si>
  <si>
    <t>Email</t>
  </si>
  <si>
    <t>Office</t>
  </si>
  <si>
    <t>Name</t>
  </si>
  <si>
    <t>Flash Fill Exersize: MC Business &amp; Economics Faculty List</t>
  </si>
  <si>
    <t>Text and Numbers</t>
  </si>
  <si>
    <t>Time</t>
  </si>
  <si>
    <t>Hour</t>
  </si>
  <si>
    <t>Minute</t>
  </si>
  <si>
    <t>Second</t>
  </si>
  <si>
    <t>Unit Price</t>
  </si>
  <si>
    <t>Value</t>
  </si>
  <si>
    <t>Canon</t>
  </si>
  <si>
    <t>Body</t>
  </si>
  <si>
    <t>EOS 70D</t>
    <phoneticPr fontId="1" type="noConversion"/>
  </si>
  <si>
    <t>EOS 80D</t>
    <phoneticPr fontId="1" type="noConversion"/>
  </si>
  <si>
    <t>EOS 90D</t>
    <phoneticPr fontId="1" type="noConversion"/>
  </si>
  <si>
    <t>EOS 7D Mark II</t>
    <phoneticPr fontId="1" type="noConversion"/>
  </si>
  <si>
    <t>Lens</t>
  </si>
  <si>
    <t>EF-M 32mm F1.4 STM</t>
    <phoneticPr fontId="1" type="noConversion"/>
  </si>
  <si>
    <t>EF 24-70mm F2.8L II USM</t>
    <phoneticPr fontId="1" type="noConversion"/>
  </si>
  <si>
    <t>RF 24-105mm F4L IS USM</t>
    <phoneticPr fontId="1" type="noConversion"/>
  </si>
  <si>
    <t>Nikon</t>
  </si>
  <si>
    <t>Nikon D5</t>
    <phoneticPr fontId="1" type="noConversion"/>
  </si>
  <si>
    <t>Nikon D7500</t>
    <phoneticPr fontId="1" type="noConversion"/>
  </si>
  <si>
    <t>AF-S NIKKOR 24-70mm F2.8E ED VR</t>
    <phoneticPr fontId="1" type="noConversion"/>
  </si>
  <si>
    <t>AF-S NIKKOR 14-24mm F2.8G ED</t>
    <phoneticPr fontId="1" type="noConversion"/>
  </si>
  <si>
    <t>AF-S NIKKOR 200-500m F5.6E ED VR</t>
    <phoneticPr fontId="1" type="noConversion"/>
  </si>
  <si>
    <t>AF-S NIKKOR 20mm F1.8G ED</t>
    <phoneticPr fontId="1" type="noConversion"/>
  </si>
  <si>
    <t>Total:</t>
  </si>
  <si>
    <t>Jan</t>
  </si>
  <si>
    <t>Feb</t>
  </si>
  <si>
    <t>Mar</t>
  </si>
  <si>
    <t>Apr</t>
  </si>
  <si>
    <t>May</t>
  </si>
  <si>
    <t>Jun</t>
  </si>
  <si>
    <t>Refrigerator</t>
  </si>
  <si>
    <t>52</t>
  </si>
  <si>
    <t>91</t>
  </si>
  <si>
    <t>61</t>
  </si>
  <si>
    <t>67</t>
  </si>
  <si>
    <t>87</t>
  </si>
  <si>
    <t>77</t>
  </si>
  <si>
    <t>Washing machine</t>
  </si>
  <si>
    <t>93</t>
  </si>
  <si>
    <t>98</t>
  </si>
  <si>
    <t>85</t>
  </si>
  <si>
    <t>96</t>
  </si>
  <si>
    <t>74</t>
  </si>
  <si>
    <t>Microwave oven</t>
  </si>
  <si>
    <t>58</t>
  </si>
  <si>
    <t>64</t>
  </si>
  <si>
    <t>89</t>
  </si>
  <si>
    <t>100</t>
  </si>
  <si>
    <t>94</t>
  </si>
  <si>
    <t>Dishwasher</t>
  </si>
  <si>
    <t>63</t>
  </si>
  <si>
    <t>90</t>
  </si>
  <si>
    <t>76</t>
  </si>
  <si>
    <t>75</t>
  </si>
  <si>
    <t>79</t>
  </si>
  <si>
    <t>Oven</t>
  </si>
  <si>
    <t>66</t>
  </si>
  <si>
    <t>50</t>
  </si>
  <si>
    <t>88</t>
  </si>
  <si>
    <t>86</t>
  </si>
  <si>
    <t>99</t>
  </si>
  <si>
    <t>Vacuum cleaner</t>
  </si>
  <si>
    <t>68</t>
  </si>
  <si>
    <t>Coffee maker</t>
  </si>
  <si>
    <t>51</t>
  </si>
  <si>
    <t>83</t>
  </si>
  <si>
    <t>Toaster</t>
  </si>
  <si>
    <t>65</t>
  </si>
  <si>
    <t>Blender</t>
  </si>
  <si>
    <t>92</t>
  </si>
  <si>
    <t>81</t>
  </si>
  <si>
    <t>Air conditioner</t>
  </si>
  <si>
    <t>72</t>
  </si>
  <si>
    <t>56</t>
  </si>
  <si>
    <t>Clothes dryer</t>
  </si>
  <si>
    <t>95</t>
  </si>
  <si>
    <t>Water heater</t>
  </si>
  <si>
    <t>69</t>
  </si>
  <si>
    <t>62</t>
  </si>
  <si>
    <t>97</t>
  </si>
  <si>
    <t>Iron</t>
  </si>
  <si>
    <t>70</t>
  </si>
  <si>
    <t>73</t>
  </si>
  <si>
    <t>Food processor</t>
  </si>
  <si>
    <t>Hair dryer</t>
  </si>
  <si>
    <t>84</t>
  </si>
  <si>
    <t>78</t>
  </si>
  <si>
    <t>Electric kettle</t>
  </si>
  <si>
    <t>71</t>
  </si>
  <si>
    <t>Slow cooker</t>
  </si>
  <si>
    <t>Electric fan</t>
  </si>
  <si>
    <t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</si>
</sst>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2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0" fontId="10" fillId="0" borderId="0">
      <alignment vertical="center"/>
    </xf>
  </cellStyleXfs>
  <cellXfs count="49">
    <xf numFmtId="0" fontId="0" fillId="0" borderId="0" xfId="0"/>
    <xf numFmtId="0" fontId="0" fillId="2" borderId="0" xfId="0" applyFill="1"/>
    <xf numFmtId="8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8" fontId="3" fillId="2" borderId="1" xfId="0" applyNumberFormat="1" applyFont="1" applyFill="1" applyBorder="1"/>
    <xf numFmtId="0" fontId="3" fillId="2" borderId="1" xfId="0" applyFont="1" applyFill="1" applyBorder="1"/>
    <xf numFmtId="8" fontId="3" fillId="2" borderId="0" xfId="0" applyNumberFormat="1" applyFont="1" applyFill="1"/>
    <xf numFmtId="0" fontId="3" fillId="2" borderId="0" xfId="0" applyFont="1" applyFill="1"/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0" fillId="4" borderId="1" xfId="0" applyFill="1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0" xfId="0" applyFont="1" applyFill="1"/>
    <xf numFmtId="0" fontId="0" fillId="2" borderId="1" xfId="0" applyFill="1" applyBorder="1"/>
    <xf numFmtId="0" fontId="1" fillId="3" borderId="0" xfId="0" applyFont="1" applyFill="1" applyAlignment="1">
      <alignment horizontal="center" vertical="center"/>
    </xf>
    <xf numFmtId="18" fontId="0" fillId="2" borderId="0" xfId="0" applyNumberFormat="1" applyFill="1" applyAlignment="1">
      <alignment horizontal="center" vertical="center"/>
    </xf>
    <xf numFmtId="19" fontId="0" fillId="2" borderId="0" xfId="0" applyNumberForma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5" borderId="5" xfId="2" applyFont="1" applyFill="1" applyBorder="1">
      <alignment vertical="center"/>
    </xf>
    <xf numFmtId="0" fontId="11" fillId="5" borderId="6" xfId="2" applyFont="1" applyFill="1" applyBorder="1">
      <alignment vertical="center"/>
    </xf>
    <xf numFmtId="0" fontId="11" fillId="5" borderId="6" xfId="2" applyFont="1" applyFill="1" applyBorder="1" applyAlignment="1">
      <alignment horizontal="right" vertical="center"/>
    </xf>
    <xf numFmtId="0" fontId="11" fillId="5" borderId="7" xfId="2" applyFont="1" applyFill="1" applyBorder="1" applyAlignment="1">
      <alignment horizontal="right" vertical="center"/>
    </xf>
    <xf numFmtId="0" fontId="10" fillId="0" borderId="0" xfId="2">
      <alignment vertical="center"/>
    </xf>
    <xf numFmtId="0" fontId="10" fillId="0" borderId="8" xfId="2" applyBorder="1">
      <alignment vertical="center"/>
    </xf>
    <xf numFmtId="0" fontId="10" fillId="0" borderId="9" xfId="2" applyBorder="1">
      <alignment vertical="center"/>
    </xf>
    <xf numFmtId="44" fontId="10" fillId="0" borderId="9" xfId="2" applyNumberFormat="1" applyBorder="1">
      <alignment vertical="center"/>
    </xf>
    <xf numFmtId="44" fontId="10" fillId="0" borderId="10" xfId="1" applyFont="1" applyBorder="1" applyAlignment="1">
      <alignment vertical="center"/>
    </xf>
    <xf numFmtId="0" fontId="10" fillId="0" borderId="11" xfId="2" applyBorder="1">
      <alignment vertical="center"/>
    </xf>
    <xf numFmtId="0" fontId="10" fillId="0" borderId="12" xfId="2" applyBorder="1">
      <alignment vertical="center"/>
    </xf>
    <xf numFmtId="44" fontId="10" fillId="0" borderId="12" xfId="2" applyNumberFormat="1" applyBorder="1">
      <alignment vertical="center"/>
    </xf>
    <xf numFmtId="44" fontId="10" fillId="0" borderId="0" xfId="2" applyNumberFormat="1">
      <alignment vertical="center"/>
    </xf>
    <xf numFmtId="44" fontId="10" fillId="0" borderId="0" xfId="2" applyNumberFormat="1" applyAlignment="1">
      <alignment horizontal="center" vertical="center"/>
    </xf>
    <xf numFmtId="44" fontId="5" fillId="0" borderId="1" xfId="2" applyNumberFormat="1" applyFont="1" applyBorder="1">
      <alignment vertical="center"/>
    </xf>
    <xf numFmtId="44" fontId="10" fillId="0" borderId="1" xfId="2" applyNumberFormat="1" applyBorder="1">
      <alignment vertical="center"/>
    </xf>
    <xf numFmtId="0" fontId="11" fillId="6" borderId="13" xfId="2" applyFont="1" applyFill="1" applyBorder="1">
      <alignment vertical="center"/>
    </xf>
    <xf numFmtId="0" fontId="11" fillId="6" borderId="14" xfId="2" applyFont="1" applyFill="1" applyBorder="1" applyAlignment="1">
      <alignment horizontal="right" vertical="center"/>
    </xf>
    <xf numFmtId="0" fontId="10" fillId="0" borderId="15" xfId="2" applyBorder="1">
      <alignment vertical="center"/>
    </xf>
    <xf numFmtId="0" fontId="10" fillId="0" borderId="16" xfId="2" quotePrefix="1" applyBorder="1" applyAlignment="1">
      <alignment horizontal="right" vertical="center"/>
    </xf>
    <xf numFmtId="0" fontId="10" fillId="0" borderId="17" xfId="2" applyBorder="1">
      <alignment vertical="center"/>
    </xf>
    <xf numFmtId="0" fontId="10" fillId="0" borderId="18" xfId="2" quotePrefix="1" applyBorder="1" applyAlignment="1">
      <alignment horizontal="right" vertical="center"/>
    </xf>
  </cellXfs>
  <cellStyles count="3">
    <cellStyle name="Currency" xfId="1" builtinId="4"/>
    <cellStyle name="Normal" xfId="0" builtinId="0"/>
    <cellStyle name="Normal 3" xfId="2" xr:uid="{C4F684F8-854E-4D9E-A45C-3524642F3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C71F-BC26-4AF9-A521-87E0310CFD8E}">
  <dimension ref="B2:H18"/>
  <sheetViews>
    <sheetView workbookViewId="0"/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21" t="s">
        <v>43</v>
      </c>
      <c r="C2" s="21"/>
      <c r="D2" s="21"/>
      <c r="E2" s="21"/>
      <c r="F2" s="21"/>
      <c r="G2" s="21"/>
      <c r="H2" s="21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20</v>
      </c>
      <c r="G5" s="6">
        <v>23.12</v>
      </c>
      <c r="H5" s="6">
        <f t="shared" ref="H5:H16" si="0">F5*G5</f>
        <v>462.40000000000003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10</v>
      </c>
      <c r="G6" s="6">
        <v>16.989999999999998</v>
      </c>
      <c r="H6" s="6">
        <f t="shared" si="0"/>
        <v>169.89999999999998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3</v>
      </c>
      <c r="G7" s="6">
        <v>5.09</v>
      </c>
      <c r="H7" s="6">
        <f t="shared" si="0"/>
        <v>15.27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10</v>
      </c>
      <c r="G8" s="6">
        <v>13.05</v>
      </c>
      <c r="H8" s="6">
        <f t="shared" si="0"/>
        <v>130.5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12</v>
      </c>
      <c r="G9" s="6">
        <v>18.260000000000002</v>
      </c>
      <c r="H9" s="6">
        <f t="shared" si="0"/>
        <v>219.12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5</v>
      </c>
      <c r="G10" s="6">
        <v>32.99</v>
      </c>
      <c r="H10" s="6">
        <f t="shared" si="0"/>
        <v>164.95000000000002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7</v>
      </c>
      <c r="G11" s="6">
        <v>5.4</v>
      </c>
      <c r="H11" s="6">
        <f t="shared" si="0"/>
        <v>37.800000000000004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15</v>
      </c>
      <c r="G12" s="6">
        <v>19.010000000000002</v>
      </c>
      <c r="H12" s="6">
        <f t="shared" si="0"/>
        <v>285.15000000000003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11</v>
      </c>
      <c r="G13" s="6">
        <v>16.48</v>
      </c>
      <c r="H13" s="6">
        <f t="shared" si="0"/>
        <v>181.28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5</v>
      </c>
      <c r="G14" s="6">
        <v>25.99</v>
      </c>
      <c r="H14" s="6">
        <f t="shared" si="0"/>
        <v>129.94999999999999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12</v>
      </c>
      <c r="G15" s="6">
        <v>40.119999999999997</v>
      </c>
      <c r="H15" s="6">
        <f t="shared" si="0"/>
        <v>481.43999999999994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10.199999999999999</v>
      </c>
      <c r="H16" s="4">
        <f t="shared" si="0"/>
        <v>112.19999999999999</v>
      </c>
    </row>
    <row r="18" spans="7:8" ht="15.5">
      <c r="G18" s="3" t="s">
        <v>1</v>
      </c>
      <c r="H18" s="2">
        <f>SUM(H5:H16)</f>
        <v>2389.9599999999996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1130-92EF-462B-A3AD-790CB841806C}">
  <dimension ref="B2:H18"/>
  <sheetViews>
    <sheetView workbookViewId="0">
      <selection activeCell="B4" sqref="B4:H4"/>
    </sheetView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21" t="s">
        <v>44</v>
      </c>
      <c r="C2" s="21"/>
      <c r="D2" s="21"/>
      <c r="E2" s="21"/>
      <c r="F2" s="21"/>
      <c r="G2" s="21"/>
      <c r="H2" s="21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22</v>
      </c>
      <c r="G5" s="6">
        <v>25.99</v>
      </c>
      <c r="H5" s="6">
        <f t="shared" ref="H5:H16" si="0">F5*G5</f>
        <v>571.78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16.98</v>
      </c>
      <c r="H6" s="6">
        <f t="shared" si="0"/>
        <v>288.66000000000003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20</v>
      </c>
      <c r="G7" s="6">
        <v>7</v>
      </c>
      <c r="H7" s="6">
        <f t="shared" si="0"/>
        <v>140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15</v>
      </c>
      <c r="G8" s="6">
        <v>13</v>
      </c>
      <c r="H8" s="6">
        <f t="shared" si="0"/>
        <v>195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13</v>
      </c>
      <c r="G9" s="6">
        <v>18.559999999999999</v>
      </c>
      <c r="H9" s="6">
        <f t="shared" si="0"/>
        <v>241.27999999999997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19</v>
      </c>
      <c r="G10" s="6">
        <v>26.99</v>
      </c>
      <c r="H10" s="6">
        <f t="shared" si="0"/>
        <v>512.80999999999995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3</v>
      </c>
      <c r="G11" s="6">
        <v>6.84</v>
      </c>
      <c r="H11" s="6">
        <f t="shared" si="0"/>
        <v>20.52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4</v>
      </c>
      <c r="G12" s="6">
        <v>13.74</v>
      </c>
      <c r="H12" s="6">
        <f t="shared" si="0"/>
        <v>54.96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11</v>
      </c>
      <c r="G13" s="6">
        <v>20.59</v>
      </c>
      <c r="H13" s="6">
        <f t="shared" si="0"/>
        <v>226.49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5</v>
      </c>
      <c r="G14" s="6">
        <v>24.49</v>
      </c>
      <c r="H14" s="6">
        <f t="shared" si="0"/>
        <v>122.44999999999999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16</v>
      </c>
      <c r="G15" s="6">
        <v>36.9</v>
      </c>
      <c r="H15" s="6">
        <f t="shared" si="0"/>
        <v>590.4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9.02</v>
      </c>
      <c r="H16" s="4">
        <f t="shared" si="0"/>
        <v>99.22</v>
      </c>
    </row>
    <row r="18" spans="7:8" ht="15.5">
      <c r="G18" s="3" t="s">
        <v>1</v>
      </c>
      <c r="H18" s="2">
        <f>SUM(H5:H16)</f>
        <v>3063.5699999999997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ADFC-936F-4EB7-8801-909646478DB2}">
  <dimension ref="B2:H18"/>
  <sheetViews>
    <sheetView workbookViewId="0">
      <selection activeCell="G14" sqref="G14"/>
    </sheetView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21" t="s">
        <v>45</v>
      </c>
      <c r="C2" s="21"/>
      <c r="D2" s="21"/>
      <c r="E2" s="21"/>
      <c r="F2" s="21"/>
      <c r="G2" s="21"/>
      <c r="H2" s="21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23</v>
      </c>
      <c r="G5" s="6">
        <v>24</v>
      </c>
      <c r="H5" s="6">
        <f t="shared" ref="H5:H16" si="0">F5*G5</f>
        <v>552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14</v>
      </c>
      <c r="G6" s="6">
        <v>17.989999999999998</v>
      </c>
      <c r="H6" s="6">
        <f t="shared" si="0"/>
        <v>251.85999999999999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46</v>
      </c>
      <c r="G7" s="6">
        <v>6.97</v>
      </c>
      <c r="H7" s="6">
        <f t="shared" si="0"/>
        <v>320.62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9</v>
      </c>
      <c r="G8" s="6">
        <v>13.74</v>
      </c>
      <c r="H8" s="6">
        <f t="shared" si="0"/>
        <v>123.66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7</v>
      </c>
      <c r="G9" s="6">
        <v>15.67</v>
      </c>
      <c r="H9" s="6">
        <f t="shared" si="0"/>
        <v>109.69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6</v>
      </c>
      <c r="G10" s="6">
        <v>33.72</v>
      </c>
      <c r="H10" s="6">
        <f t="shared" si="0"/>
        <v>202.32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5</v>
      </c>
      <c r="G11" s="6">
        <v>5.36</v>
      </c>
      <c r="H11" s="6">
        <f t="shared" si="0"/>
        <v>26.8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17</v>
      </c>
      <c r="G12" s="6">
        <v>17.190000000000001</v>
      </c>
      <c r="H12" s="6">
        <f t="shared" si="0"/>
        <v>292.23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14</v>
      </c>
      <c r="G13" s="6">
        <v>21.99</v>
      </c>
      <c r="H13" s="6">
        <f t="shared" si="0"/>
        <v>307.85999999999996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13</v>
      </c>
      <c r="G14" s="6">
        <v>24.49</v>
      </c>
      <c r="H14" s="6">
        <f t="shared" si="0"/>
        <v>318.37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41</v>
      </c>
      <c r="G15" s="6">
        <v>39.99</v>
      </c>
      <c r="H15" s="6">
        <f t="shared" si="0"/>
        <v>1639.5900000000001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9.02</v>
      </c>
      <c r="H16" s="4">
        <f t="shared" si="0"/>
        <v>99.22</v>
      </c>
    </row>
    <row r="18" spans="7:8" ht="15.5">
      <c r="G18" s="3" t="s">
        <v>1</v>
      </c>
      <c r="H18" s="2">
        <f>SUM(H5:H16)</f>
        <v>4244.22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C78F-87BA-4C7F-8D62-B7E4236C2193}">
  <dimension ref="B2:H18"/>
  <sheetViews>
    <sheetView workbookViewId="0">
      <selection activeCell="B4" sqref="B4"/>
    </sheetView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21" t="s">
        <v>42</v>
      </c>
      <c r="C2" s="21"/>
      <c r="D2" s="21"/>
      <c r="E2" s="21"/>
      <c r="F2" s="21"/>
      <c r="G2" s="21"/>
      <c r="H2" s="21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23</v>
      </c>
      <c r="G5" s="6">
        <v>23.12</v>
      </c>
      <c r="H5" s="6">
        <f t="shared" ref="H5:H16" si="0">F5*G5</f>
        <v>531.76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16.78</v>
      </c>
      <c r="H6" s="6">
        <f t="shared" si="0"/>
        <v>285.26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59</v>
      </c>
      <c r="G7" s="6">
        <v>5.23</v>
      </c>
      <c r="H7" s="6">
        <f t="shared" si="0"/>
        <v>308.57000000000005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8</v>
      </c>
      <c r="G8" s="6">
        <v>13.99</v>
      </c>
      <c r="H8" s="6">
        <f t="shared" si="0"/>
        <v>111.92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8</v>
      </c>
      <c r="G9" s="6">
        <v>22.73</v>
      </c>
      <c r="H9" s="6">
        <f t="shared" si="0"/>
        <v>181.84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4</v>
      </c>
      <c r="G10" s="6">
        <v>32.14</v>
      </c>
      <c r="H10" s="6">
        <f t="shared" si="0"/>
        <v>128.56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9</v>
      </c>
      <c r="G11" s="6">
        <v>6.74</v>
      </c>
      <c r="H11" s="6">
        <f t="shared" si="0"/>
        <v>60.660000000000004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3</v>
      </c>
      <c r="G12" s="6">
        <v>12.99</v>
      </c>
      <c r="H12" s="6">
        <f t="shared" si="0"/>
        <v>38.97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12</v>
      </c>
      <c r="G13" s="6">
        <v>20.59</v>
      </c>
      <c r="H13" s="6">
        <f t="shared" si="0"/>
        <v>247.07999999999998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7</v>
      </c>
      <c r="G14" s="6">
        <v>24.49</v>
      </c>
      <c r="H14" s="6">
        <f t="shared" si="0"/>
        <v>171.42999999999998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34</v>
      </c>
      <c r="G15" s="6">
        <v>30.16</v>
      </c>
      <c r="H15" s="6">
        <f t="shared" si="0"/>
        <v>1025.44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10</v>
      </c>
      <c r="G16" s="4">
        <v>9.02</v>
      </c>
      <c r="H16" s="4">
        <f t="shared" si="0"/>
        <v>90.199999999999989</v>
      </c>
    </row>
    <row r="18" spans="7:8" ht="15.5">
      <c r="G18" s="3" t="s">
        <v>1</v>
      </c>
      <c r="H18" s="2">
        <f>SUM(H5:H16)</f>
        <v>3181.69</v>
      </c>
    </row>
  </sheetData>
  <mergeCells count="1"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74A6-EF7F-4252-9DAC-FC5F039505D4}">
  <dimension ref="B2:H18"/>
  <sheetViews>
    <sheetView workbookViewId="0">
      <selection activeCell="L14" sqref="L14"/>
    </sheetView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21" t="s">
        <v>41</v>
      </c>
      <c r="C2" s="21"/>
      <c r="D2" s="21"/>
      <c r="E2" s="21"/>
      <c r="F2" s="21"/>
      <c r="G2" s="21"/>
      <c r="H2" s="21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22</v>
      </c>
      <c r="G5" s="6">
        <v>23.12</v>
      </c>
      <c r="H5" s="6">
        <f t="shared" ref="H5:H16" si="0">F5*G5</f>
        <v>508.64000000000004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16.78</v>
      </c>
      <c r="H6" s="6">
        <f t="shared" si="0"/>
        <v>285.26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59</v>
      </c>
      <c r="G7" s="6">
        <v>5.23</v>
      </c>
      <c r="H7" s="6">
        <f t="shared" si="0"/>
        <v>308.57000000000005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8</v>
      </c>
      <c r="G8" s="6">
        <v>12.78</v>
      </c>
      <c r="H8" s="6">
        <f t="shared" si="0"/>
        <v>102.24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8</v>
      </c>
      <c r="G9" s="6">
        <v>19.989999999999998</v>
      </c>
      <c r="H9" s="6">
        <f t="shared" si="0"/>
        <v>159.91999999999999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4</v>
      </c>
      <c r="G10" s="6">
        <v>33.72</v>
      </c>
      <c r="H10" s="6">
        <f t="shared" si="0"/>
        <v>134.88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9</v>
      </c>
      <c r="G11" s="6">
        <v>5.36</v>
      </c>
      <c r="H11" s="6">
        <f t="shared" si="0"/>
        <v>48.24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3</v>
      </c>
      <c r="G12" s="6">
        <v>17.190000000000001</v>
      </c>
      <c r="H12" s="6">
        <f t="shared" si="0"/>
        <v>51.570000000000007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12</v>
      </c>
      <c r="G13" s="6">
        <v>20.59</v>
      </c>
      <c r="H13" s="6">
        <f t="shared" si="0"/>
        <v>247.07999999999998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7</v>
      </c>
      <c r="G14" s="6">
        <v>24.49</v>
      </c>
      <c r="H14" s="6">
        <f t="shared" si="0"/>
        <v>171.42999999999998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34</v>
      </c>
      <c r="G15" s="6">
        <v>39.99</v>
      </c>
      <c r="H15" s="6">
        <f t="shared" si="0"/>
        <v>1359.66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10</v>
      </c>
      <c r="G16" s="4">
        <v>9.02</v>
      </c>
      <c r="H16" s="4">
        <f t="shared" si="0"/>
        <v>90.199999999999989</v>
      </c>
    </row>
    <row r="18" spans="7:8" ht="15.5">
      <c r="G18" s="3" t="s">
        <v>1</v>
      </c>
      <c r="H18" s="2">
        <f>SUM(H5:H16)</f>
        <v>3467.69</v>
      </c>
    </row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207B-FE69-4F52-B76B-85B99DCF5783}">
  <dimension ref="B2:Q20"/>
  <sheetViews>
    <sheetView workbookViewId="0">
      <selection activeCell="B6" sqref="B6:B20"/>
    </sheetView>
  </sheetViews>
  <sheetFormatPr defaultColWidth="8.90625" defaultRowHeight="14.5"/>
  <cols>
    <col min="1" max="1" width="8.90625" style="1"/>
    <col min="2" max="5" width="10.81640625" style="1" customWidth="1"/>
    <col min="6" max="6" width="4.81640625" style="1" customWidth="1"/>
    <col min="7" max="8" width="10.81640625" style="1" customWidth="1"/>
    <col min="9" max="9" width="20.81640625" style="1" customWidth="1"/>
    <col min="10" max="10" width="4.81640625" style="1" customWidth="1"/>
    <col min="11" max="13" width="10.81640625" style="1" customWidth="1"/>
    <col min="14" max="14" width="4.81640625" style="1" customWidth="1"/>
    <col min="15" max="16" width="10.81640625" style="1" customWidth="1"/>
    <col min="17" max="17" width="20.81640625" style="1" customWidth="1"/>
    <col min="18" max="16384" width="8.90625" style="1"/>
  </cols>
  <sheetData>
    <row r="2" spans="2:17" ht="23.5">
      <c r="B2" s="21" t="s">
        <v>64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4" spans="2:17" ht="15.5">
      <c r="B4" s="22" t="s">
        <v>63</v>
      </c>
      <c r="C4" s="22"/>
      <c r="D4" s="22"/>
      <c r="E4" s="22"/>
      <c r="G4" s="22" t="s">
        <v>104</v>
      </c>
      <c r="H4" s="22"/>
      <c r="I4" s="22"/>
      <c r="K4" s="22" t="s">
        <v>62</v>
      </c>
      <c r="L4" s="22"/>
      <c r="M4" s="22"/>
      <c r="O4" s="22" t="s">
        <v>103</v>
      </c>
      <c r="P4" s="22"/>
      <c r="Q4" s="22"/>
    </row>
    <row r="5" spans="2:17" ht="15" thickBot="1">
      <c r="B5" s="15" t="s">
        <v>61</v>
      </c>
      <c r="C5" s="15" t="s">
        <v>60</v>
      </c>
      <c r="D5" s="15" t="s">
        <v>59</v>
      </c>
      <c r="E5" s="15" t="s">
        <v>58</v>
      </c>
      <c r="F5" s="13"/>
      <c r="G5" s="15" t="s">
        <v>105</v>
      </c>
      <c r="H5" s="15" t="s">
        <v>106</v>
      </c>
      <c r="I5" s="15" t="s">
        <v>107</v>
      </c>
      <c r="J5" s="13"/>
      <c r="K5" s="15" t="s">
        <v>57</v>
      </c>
      <c r="L5" s="15" t="s">
        <v>55</v>
      </c>
      <c r="M5" s="15" t="s">
        <v>54</v>
      </c>
      <c r="N5" s="13"/>
      <c r="O5" s="15" t="s">
        <v>56</v>
      </c>
      <c r="P5" s="15" t="s">
        <v>55</v>
      </c>
      <c r="Q5" s="15" t="s">
        <v>54</v>
      </c>
    </row>
    <row r="6" spans="2:17" ht="15" thickTop="1">
      <c r="B6" s="14">
        <v>44927</v>
      </c>
      <c r="C6" s="14">
        <v>44927</v>
      </c>
      <c r="D6" s="14">
        <v>44927</v>
      </c>
      <c r="E6" s="13" t="s">
        <v>53</v>
      </c>
      <c r="F6" s="13"/>
      <c r="G6" s="19">
        <v>0.5</v>
      </c>
      <c r="H6" s="19">
        <v>0.5</v>
      </c>
      <c r="I6" s="20">
        <v>0.5</v>
      </c>
      <c r="J6" s="13"/>
      <c r="K6" s="13">
        <v>1</v>
      </c>
      <c r="L6" s="13">
        <v>1</v>
      </c>
      <c r="M6" s="13">
        <v>0</v>
      </c>
      <c r="N6" s="13"/>
      <c r="O6" s="13" t="s">
        <v>52</v>
      </c>
      <c r="P6" s="13" t="s">
        <v>51</v>
      </c>
      <c r="Q6" s="13" t="s">
        <v>50</v>
      </c>
    </row>
    <row r="7" spans="2:17">
      <c r="B7" s="14">
        <v>45292</v>
      </c>
      <c r="C7" s="14">
        <v>44958</v>
      </c>
      <c r="D7" s="14">
        <v>44928</v>
      </c>
      <c r="E7" s="13" t="s">
        <v>49</v>
      </c>
      <c r="F7" s="13"/>
      <c r="G7" s="19">
        <v>0.54166666666666663</v>
      </c>
      <c r="H7" s="19">
        <v>0.52083333333333337</v>
      </c>
      <c r="I7" s="20">
        <v>0.50011574074074072</v>
      </c>
      <c r="J7" s="13"/>
      <c r="K7" s="13">
        <v>2</v>
      </c>
      <c r="L7" s="13">
        <v>3</v>
      </c>
      <c r="M7" s="13">
        <v>1</v>
      </c>
      <c r="N7" s="13"/>
      <c r="O7" s="13" t="s">
        <v>48</v>
      </c>
      <c r="P7" s="13" t="s">
        <v>47</v>
      </c>
      <c r="Q7" s="13" t="s">
        <v>46</v>
      </c>
    </row>
    <row r="8" spans="2:17">
      <c r="B8" s="14">
        <v>45658</v>
      </c>
      <c r="C8" s="12"/>
      <c r="D8" s="12"/>
      <c r="E8" s="12"/>
      <c r="F8" s="13"/>
      <c r="G8" s="12"/>
      <c r="H8" s="12"/>
      <c r="I8" s="11"/>
      <c r="J8" s="13"/>
      <c r="K8" s="12"/>
      <c r="L8" s="12"/>
      <c r="M8" s="13">
        <v>1</v>
      </c>
      <c r="N8" s="13"/>
      <c r="O8" s="12"/>
      <c r="P8" s="12"/>
      <c r="Q8" s="12"/>
    </row>
    <row r="9" spans="2:17">
      <c r="B9" s="14">
        <v>46023</v>
      </c>
      <c r="C9" s="12"/>
      <c r="D9" s="12"/>
      <c r="E9" s="12"/>
      <c r="F9" s="13"/>
      <c r="G9" s="12"/>
      <c r="H9" s="12"/>
      <c r="I9" s="11"/>
      <c r="J9" s="13"/>
      <c r="K9" s="12"/>
      <c r="L9" s="12"/>
      <c r="M9" s="13">
        <v>2</v>
      </c>
      <c r="N9" s="13"/>
      <c r="O9" s="12"/>
      <c r="P9" s="12"/>
      <c r="Q9" s="12"/>
    </row>
    <row r="10" spans="2:17">
      <c r="B10" s="14">
        <v>46388</v>
      </c>
      <c r="C10" s="12"/>
      <c r="D10" s="12"/>
      <c r="E10" s="12"/>
      <c r="F10" s="13"/>
      <c r="G10" s="12"/>
      <c r="H10" s="12"/>
      <c r="I10" s="11"/>
      <c r="J10" s="13"/>
      <c r="K10" s="12"/>
      <c r="L10" s="12"/>
      <c r="M10" s="13">
        <v>3</v>
      </c>
      <c r="N10" s="13"/>
      <c r="O10" s="12"/>
      <c r="P10" s="12"/>
      <c r="Q10" s="12"/>
    </row>
    <row r="11" spans="2:17">
      <c r="B11" s="14">
        <v>46753</v>
      </c>
      <c r="C11" s="12"/>
      <c r="D11" s="12"/>
      <c r="E11" s="12"/>
      <c r="F11" s="13"/>
      <c r="G11" s="12"/>
      <c r="H11" s="12"/>
      <c r="I11" s="11"/>
      <c r="J11" s="13"/>
      <c r="K11" s="12"/>
      <c r="L11" s="12"/>
      <c r="M11" s="13">
        <v>5</v>
      </c>
      <c r="N11" s="13"/>
      <c r="O11" s="12"/>
      <c r="P11" s="12"/>
      <c r="Q11" s="12"/>
    </row>
    <row r="12" spans="2:17">
      <c r="B12" s="14">
        <v>47119</v>
      </c>
      <c r="C12" s="11"/>
      <c r="D12" s="11"/>
      <c r="E12" s="11"/>
      <c r="G12" s="11"/>
      <c r="H12" s="11"/>
      <c r="I12" s="11"/>
      <c r="K12" s="11"/>
      <c r="L12" s="11"/>
      <c r="M12" s="11"/>
      <c r="O12" s="11"/>
      <c r="P12" s="11"/>
      <c r="Q12" s="11"/>
    </row>
    <row r="13" spans="2:17">
      <c r="B13" s="14">
        <v>47484</v>
      </c>
      <c r="C13" s="11"/>
      <c r="D13" s="11"/>
      <c r="E13" s="11"/>
      <c r="G13" s="11"/>
      <c r="H13" s="11"/>
      <c r="I13" s="11"/>
      <c r="K13" s="11"/>
      <c r="L13" s="11"/>
      <c r="M13" s="11"/>
      <c r="O13" s="11"/>
      <c r="P13" s="11"/>
      <c r="Q13" s="11"/>
    </row>
    <row r="14" spans="2:17">
      <c r="B14" s="14">
        <v>47849</v>
      </c>
      <c r="C14" s="11"/>
      <c r="D14" s="11"/>
      <c r="E14" s="11"/>
      <c r="G14" s="11"/>
      <c r="H14" s="11"/>
      <c r="I14" s="11"/>
      <c r="K14" s="11"/>
      <c r="L14" s="11"/>
      <c r="M14" s="11"/>
      <c r="O14" s="11"/>
      <c r="P14" s="11"/>
      <c r="Q14" s="11"/>
    </row>
    <row r="15" spans="2:17">
      <c r="B15" s="14">
        <v>48214</v>
      </c>
      <c r="C15" s="11"/>
      <c r="D15" s="11"/>
      <c r="E15" s="11"/>
      <c r="G15" s="11"/>
      <c r="H15" s="11"/>
      <c r="I15" s="11"/>
      <c r="K15" s="11"/>
      <c r="L15" s="11"/>
      <c r="M15" s="11"/>
      <c r="O15" s="11"/>
      <c r="P15" s="11"/>
      <c r="Q15" s="11"/>
    </row>
    <row r="16" spans="2:17">
      <c r="B16" s="14">
        <v>48580</v>
      </c>
      <c r="C16" s="11"/>
      <c r="D16" s="11"/>
      <c r="E16" s="11"/>
      <c r="G16" s="11"/>
      <c r="H16" s="11"/>
      <c r="I16" s="11"/>
      <c r="K16" s="11"/>
      <c r="L16" s="11"/>
      <c r="M16" s="11"/>
      <c r="O16" s="11"/>
      <c r="P16" s="11"/>
      <c r="Q16" s="11"/>
    </row>
    <row r="17" spans="2:17">
      <c r="B17" s="14">
        <v>48945</v>
      </c>
      <c r="C17" s="11"/>
      <c r="D17" s="11"/>
      <c r="E17" s="11"/>
      <c r="G17" s="11"/>
      <c r="H17" s="11"/>
      <c r="I17" s="11"/>
      <c r="K17" s="11"/>
      <c r="L17" s="11"/>
      <c r="M17" s="11"/>
      <c r="O17" s="11"/>
      <c r="P17" s="11"/>
      <c r="Q17" s="11"/>
    </row>
    <row r="18" spans="2:17">
      <c r="B18" s="14">
        <v>49310</v>
      </c>
      <c r="C18" s="11"/>
      <c r="D18" s="11"/>
      <c r="E18" s="11"/>
      <c r="G18" s="11"/>
      <c r="H18" s="11"/>
      <c r="I18" s="11"/>
      <c r="K18" s="11"/>
      <c r="L18" s="11"/>
      <c r="M18" s="11"/>
      <c r="O18" s="11"/>
      <c r="P18" s="11"/>
      <c r="Q18" s="11"/>
    </row>
    <row r="19" spans="2:17">
      <c r="B19" s="14">
        <v>49675</v>
      </c>
      <c r="C19" s="11"/>
      <c r="D19" s="11"/>
      <c r="E19" s="11"/>
      <c r="G19" s="11"/>
      <c r="H19" s="11"/>
      <c r="I19" s="11"/>
      <c r="K19" s="11"/>
      <c r="L19" s="11"/>
      <c r="M19" s="11"/>
      <c r="O19" s="11"/>
      <c r="P19" s="11"/>
      <c r="Q19" s="11"/>
    </row>
    <row r="20" spans="2:17">
      <c r="B20" s="14">
        <v>50041</v>
      </c>
      <c r="C20" s="10"/>
      <c r="D20" s="10"/>
      <c r="E20" s="10"/>
      <c r="G20" s="10"/>
      <c r="H20" s="10"/>
      <c r="I20" s="10"/>
      <c r="K20" s="10"/>
      <c r="L20" s="10"/>
      <c r="M20" s="10"/>
      <c r="O20" s="10"/>
      <c r="P20" s="10"/>
      <c r="Q20" s="10"/>
    </row>
  </sheetData>
  <mergeCells count="5">
    <mergeCell ref="B4:E4"/>
    <mergeCell ref="K4:M4"/>
    <mergeCell ref="B2:Q2"/>
    <mergeCell ref="O4:Q4"/>
    <mergeCell ref="G4:I4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529A-623A-4E43-B113-D721849CCFFF}">
  <dimension ref="B2:P11"/>
  <sheetViews>
    <sheetView workbookViewId="0">
      <selection activeCell="G17" sqref="G17"/>
    </sheetView>
  </sheetViews>
  <sheetFormatPr defaultColWidth="8.90625" defaultRowHeight="14.5"/>
  <cols>
    <col min="1" max="1" width="2.81640625" style="1" customWidth="1"/>
    <col min="2" max="2" width="15.6328125" style="1" bestFit="1" customWidth="1"/>
    <col min="3" max="3" width="33.81640625" style="1" bestFit="1" customWidth="1"/>
    <col min="4" max="4" width="32.1796875" style="1" bestFit="1" customWidth="1"/>
    <col min="5" max="5" width="13.36328125" style="1" bestFit="1" customWidth="1"/>
    <col min="6" max="10" width="20.81640625" style="1" customWidth="1"/>
    <col min="11" max="16384" width="8.90625" style="1"/>
  </cols>
  <sheetData>
    <row r="2" spans="2:16" ht="23.5">
      <c r="B2" s="21" t="s">
        <v>102</v>
      </c>
      <c r="C2" s="21"/>
      <c r="D2" s="21"/>
      <c r="E2" s="21"/>
      <c r="F2" s="21"/>
      <c r="G2" s="21"/>
      <c r="H2" s="21"/>
      <c r="I2" s="21"/>
      <c r="J2" s="21"/>
    </row>
    <row r="4" spans="2:16" ht="15.5">
      <c r="B4" s="18" t="s">
        <v>101</v>
      </c>
      <c r="C4" s="18" t="s">
        <v>100</v>
      </c>
      <c r="D4" s="18" t="s">
        <v>99</v>
      </c>
      <c r="E4" s="18" t="s">
        <v>98</v>
      </c>
      <c r="F4" s="18" t="s">
        <v>97</v>
      </c>
      <c r="G4" s="18" t="s">
        <v>96</v>
      </c>
      <c r="H4" s="18" t="s">
        <v>95</v>
      </c>
      <c r="I4" s="18" t="s">
        <v>94</v>
      </c>
      <c r="J4" s="18" t="s">
        <v>93</v>
      </c>
      <c r="L4" s="23" t="s">
        <v>92</v>
      </c>
      <c r="M4" s="23"/>
      <c r="N4" s="23"/>
      <c r="O4" s="23"/>
      <c r="P4" s="23"/>
    </row>
    <row r="5" spans="2:16">
      <c r="B5" s="1" t="s">
        <v>91</v>
      </c>
      <c r="C5" s="1" t="s">
        <v>90</v>
      </c>
      <c r="D5" s="1" t="s">
        <v>89</v>
      </c>
      <c r="E5" s="1" t="s">
        <v>88</v>
      </c>
      <c r="F5" s="11"/>
      <c r="G5" s="11"/>
      <c r="H5" s="11"/>
      <c r="I5" s="11"/>
      <c r="J5" s="11"/>
      <c r="L5" s="16" t="str">
        <f t="shared" ref="L5:L11" si="0">LEFT(B5,FIND(" ",B5)-1)</f>
        <v>Saadullah</v>
      </c>
      <c r="M5" s="1" t="str">
        <f t="shared" ref="M5:M11" si="1">MID(B5,FIND(" ",B5)+1,LEN(B5)-FIND(" ",B5))</f>
        <v>Bashir</v>
      </c>
      <c r="N5" s="1" t="str">
        <f t="shared" ref="N5:N11" si="2">LEFT(D5,FIND("@",D5)-1)</f>
        <v>sbashir</v>
      </c>
      <c r="O5" s="1" t="str">
        <f t="shared" ref="O5:O11" si="3">MID(C5,4,3)</f>
        <v>348</v>
      </c>
      <c r="P5" s="1" t="str">
        <f t="shared" ref="P5:P11" si="4">RIGHT(E5,4)</f>
        <v>2184</v>
      </c>
    </row>
    <row r="6" spans="2:16">
      <c r="B6" s="1" t="s">
        <v>87</v>
      </c>
      <c r="C6" s="1" t="s">
        <v>86</v>
      </c>
      <c r="D6" s="1" t="s">
        <v>85</v>
      </c>
      <c r="E6" s="1" t="s">
        <v>84</v>
      </c>
      <c r="F6" s="11"/>
      <c r="G6" s="11"/>
      <c r="H6" s="11"/>
      <c r="I6" s="11"/>
      <c r="J6" s="11"/>
      <c r="L6" s="16" t="str">
        <f t="shared" si="0"/>
        <v>Amanda</v>
      </c>
      <c r="M6" s="1" t="str">
        <f t="shared" si="1"/>
        <v>Cleland</v>
      </c>
      <c r="N6" s="1" t="str">
        <f t="shared" si="2"/>
        <v>acleland</v>
      </c>
      <c r="O6" s="1" t="str">
        <f t="shared" si="3"/>
        <v>257</v>
      </c>
      <c r="P6" s="1" t="str">
        <f t="shared" si="4"/>
        <v>2365</v>
      </c>
    </row>
    <row r="7" spans="2:16">
      <c r="B7" s="1" t="s">
        <v>83</v>
      </c>
      <c r="C7" s="1" t="s">
        <v>82</v>
      </c>
      <c r="D7" s="1" t="s">
        <v>81</v>
      </c>
      <c r="E7" s="1" t="s">
        <v>80</v>
      </c>
      <c r="F7" s="11"/>
      <c r="G7" s="11"/>
      <c r="H7" s="11"/>
      <c r="I7" s="11"/>
      <c r="J7" s="11"/>
      <c r="L7" s="16" t="str">
        <f t="shared" si="0"/>
        <v>Michael</v>
      </c>
      <c r="M7" s="1" t="str">
        <f t="shared" si="1"/>
        <v>Connell</v>
      </c>
      <c r="N7" s="1" t="str">
        <f t="shared" si="2"/>
        <v>michaelc</v>
      </c>
      <c r="O7" s="1" t="str">
        <f t="shared" si="3"/>
        <v>258</v>
      </c>
      <c r="P7" s="1" t="str">
        <f t="shared" si="4"/>
        <v>2156</v>
      </c>
    </row>
    <row r="8" spans="2:16">
      <c r="B8" s="1" t="s">
        <v>79</v>
      </c>
      <c r="C8" s="1" t="s">
        <v>78</v>
      </c>
      <c r="D8" s="1" t="s">
        <v>77</v>
      </c>
      <c r="E8" s="1" t="s">
        <v>76</v>
      </c>
      <c r="F8" s="11"/>
      <c r="G8" s="11"/>
      <c r="H8" s="11"/>
      <c r="I8" s="11"/>
      <c r="J8" s="11"/>
      <c r="L8" s="16" t="str">
        <f t="shared" si="0"/>
        <v>Richard</v>
      </c>
      <c r="M8" s="1" t="str">
        <f t="shared" si="1"/>
        <v>Johnston</v>
      </c>
      <c r="N8" s="1" t="str">
        <f t="shared" si="2"/>
        <v>richardj</v>
      </c>
      <c r="O8" s="1" t="str">
        <f t="shared" si="3"/>
        <v>247</v>
      </c>
      <c r="P8" s="1" t="str">
        <f t="shared" si="4"/>
        <v>2182</v>
      </c>
    </row>
    <row r="9" spans="2:16">
      <c r="B9" s="1" t="s">
        <v>75</v>
      </c>
      <c r="C9" s="1" t="s">
        <v>74</v>
      </c>
      <c r="D9" s="1" t="s">
        <v>73</v>
      </c>
      <c r="E9" s="1" t="s">
        <v>72</v>
      </c>
      <c r="F9" s="11"/>
      <c r="G9" s="11"/>
      <c r="H9" s="11"/>
      <c r="I9" s="11"/>
      <c r="J9" s="11"/>
      <c r="L9" s="16" t="str">
        <f t="shared" si="0"/>
        <v>Tom</v>
      </c>
      <c r="M9" s="1" t="str">
        <f t="shared" si="1"/>
        <v>Prince</v>
      </c>
      <c r="N9" s="1" t="str">
        <f t="shared" si="2"/>
        <v>tprince</v>
      </c>
      <c r="O9" s="1" t="str">
        <f t="shared" si="3"/>
        <v>259</v>
      </c>
      <c r="P9" s="1" t="str">
        <f t="shared" si="4"/>
        <v>2234</v>
      </c>
    </row>
    <row r="10" spans="2:16">
      <c r="B10" s="1" t="s">
        <v>71</v>
      </c>
      <c r="C10" s="1" t="s">
        <v>70</v>
      </c>
      <c r="D10" s="1" t="s">
        <v>69</v>
      </c>
      <c r="E10" s="1" t="s">
        <v>68</v>
      </c>
      <c r="F10" s="11"/>
      <c r="G10" s="11"/>
      <c r="H10" s="11"/>
      <c r="I10" s="11"/>
      <c r="J10" s="11"/>
      <c r="L10" s="16" t="str">
        <f t="shared" si="0"/>
        <v>Brian</v>
      </c>
      <c r="M10" s="1" t="str">
        <f t="shared" si="1"/>
        <v>Park</v>
      </c>
      <c r="N10" s="1" t="str">
        <f t="shared" si="2"/>
        <v>bpark</v>
      </c>
      <c r="O10" s="1" t="str">
        <f t="shared" si="3"/>
        <v>248</v>
      </c>
      <c r="P10" s="1" t="str">
        <f t="shared" si="4"/>
        <v>2449</v>
      </c>
    </row>
    <row r="11" spans="2:16">
      <c r="B11" s="17" t="s">
        <v>67</v>
      </c>
      <c r="C11" s="17" t="s">
        <v>66</v>
      </c>
      <c r="D11" s="17" t="s">
        <v>65</v>
      </c>
      <c r="E11" s="17"/>
      <c r="F11" s="10"/>
      <c r="G11" s="10"/>
      <c r="H11" s="10"/>
      <c r="I11" s="10"/>
      <c r="J11" s="10"/>
      <c r="L11" s="16" t="str">
        <f t="shared" si="0"/>
        <v>Herb</v>
      </c>
      <c r="M11" s="1" t="str">
        <f t="shared" si="1"/>
        <v>Schmidt</v>
      </c>
      <c r="N11" s="1" t="str">
        <f t="shared" si="2"/>
        <v>heschmidt</v>
      </c>
      <c r="O11" s="1" t="str">
        <f t="shared" si="3"/>
        <v>251</v>
      </c>
      <c r="P11" s="1" t="str">
        <f t="shared" si="4"/>
        <v/>
      </c>
    </row>
  </sheetData>
  <mergeCells count="2">
    <mergeCell ref="B2:J2"/>
    <mergeCell ref="L4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AD79-F7F5-4B92-BA7D-881869C8C423}">
  <dimension ref="B2:D8"/>
  <sheetViews>
    <sheetView tabSelected="1" zoomScaleNormal="100" workbookViewId="0">
      <selection activeCell="L9" sqref="L9"/>
    </sheetView>
  </sheetViews>
  <sheetFormatPr defaultColWidth="8.90625" defaultRowHeight="20" customHeight="1"/>
  <cols>
    <col min="1" max="1" width="8.90625" style="24"/>
    <col min="2" max="2" width="2.81640625" style="24" customWidth="1"/>
    <col min="3" max="3" width="4.54296875" style="24" customWidth="1"/>
    <col min="4" max="4" width="2.81640625" style="24" customWidth="1"/>
    <col min="5" max="16384" width="8.90625" style="24"/>
  </cols>
  <sheetData>
    <row r="2" spans="2:4" ht="20" customHeight="1">
      <c r="C2" s="24">
        <v>55555555555</v>
      </c>
    </row>
    <row r="3" spans="2:4" ht="20" customHeight="1">
      <c r="B3" s="25">
        <v>5.5555555555555501E+24</v>
      </c>
      <c r="C3" s="26"/>
      <c r="D3" s="26"/>
    </row>
    <row r="4" spans="2:4" ht="20" customHeight="1">
      <c r="B4" s="26" t="e" cm="1">
        <f t="array" ref="B4">A1+A0</f>
        <v>#NAME?</v>
      </c>
      <c r="C4" s="26"/>
      <c r="D4" s="26"/>
    </row>
    <row r="5" spans="2:4" ht="20" customHeight="1">
      <c r="B5" s="26" t="e" cm="1">
        <f t="array" ref="B5">VLOOKUP("Target",A1:A5,B1:B5,TRUE)</f>
        <v>#N/A</v>
      </c>
      <c r="C5" s="26"/>
      <c r="D5" s="26"/>
    </row>
    <row r="6" spans="2:4" ht="20" customHeight="1">
      <c r="B6" s="26" t="e" cm="1">
        <f t="array" ref="B6">555+Excel</f>
        <v>#NAME?</v>
      </c>
      <c r="C6" s="26"/>
      <c r="D6" s="26"/>
    </row>
    <row r="7" spans="2:4" ht="20" customHeight="1">
      <c r="B7" s="26" t="e">
        <f>A2+#REF!</f>
        <v>#REF!</v>
      </c>
      <c r="C7" s="26"/>
      <c r="D7" s="26"/>
    </row>
    <row r="8" spans="2:4" ht="20" customHeight="1">
      <c r="B8" s="26" t="e">
        <f>555/0</f>
        <v>#DIV/0!</v>
      </c>
      <c r="C8" s="26"/>
      <c r="D8" s="26"/>
    </row>
  </sheetData>
  <mergeCells count="6">
    <mergeCell ref="B3:D3"/>
    <mergeCell ref="B4:D4"/>
    <mergeCell ref="B5:D5"/>
    <mergeCell ref="B6:D6"/>
    <mergeCell ref="B7:D7"/>
    <mergeCell ref="B8:D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481E-4FC2-436C-97FE-2789DAA01B3E}">
  <dimension ref="B2:G18"/>
  <sheetViews>
    <sheetView zoomScaleNormal="100" workbookViewId="0">
      <selection activeCell="C29" sqref="C29"/>
    </sheetView>
  </sheetViews>
  <sheetFormatPr defaultColWidth="8.90625" defaultRowHeight="14.5"/>
  <cols>
    <col min="1" max="1" width="3.6328125" style="31" customWidth="1"/>
    <col min="2" max="3" width="8.90625" style="31"/>
    <col min="4" max="4" width="38.90625" style="31" customWidth="1"/>
    <col min="5" max="5" width="9.81640625" style="31" customWidth="1"/>
    <col min="6" max="6" width="13.08984375" style="31" customWidth="1"/>
    <col min="7" max="7" width="13.81640625" style="31" customWidth="1"/>
    <col min="8" max="16384" width="8.90625" style="31"/>
  </cols>
  <sheetData>
    <row r="2" spans="2:7">
      <c r="B2" s="27" t="s">
        <v>40</v>
      </c>
      <c r="C2" s="28" t="s">
        <v>39</v>
      </c>
      <c r="D2" s="28" t="s">
        <v>38</v>
      </c>
      <c r="E2" s="29" t="s">
        <v>36</v>
      </c>
      <c r="F2" s="29" t="s">
        <v>108</v>
      </c>
      <c r="G2" s="30" t="s">
        <v>109</v>
      </c>
    </row>
    <row r="3" spans="2:7">
      <c r="B3" s="32" t="s">
        <v>110</v>
      </c>
      <c r="C3" s="33" t="s">
        <v>111</v>
      </c>
      <c r="D3" s="33" t="s">
        <v>112</v>
      </c>
      <c r="E3" s="33">
        <v>8</v>
      </c>
      <c r="F3" s="34">
        <v>316.66666666666669</v>
      </c>
      <c r="G3" s="35">
        <v>2533.3333333333335</v>
      </c>
    </row>
    <row r="4" spans="2:7">
      <c r="B4" s="32" t="s">
        <v>110</v>
      </c>
      <c r="C4" s="33" t="s">
        <v>111</v>
      </c>
      <c r="D4" s="33" t="s">
        <v>113</v>
      </c>
      <c r="E4" s="33">
        <v>10</v>
      </c>
      <c r="F4" s="34">
        <v>541.66666666666663</v>
      </c>
      <c r="G4" s="35">
        <v>5416.6666666666661</v>
      </c>
    </row>
    <row r="5" spans="2:7">
      <c r="B5" s="32" t="s">
        <v>110</v>
      </c>
      <c r="C5" s="33" t="s">
        <v>111</v>
      </c>
      <c r="D5" s="33" t="s">
        <v>114</v>
      </c>
      <c r="E5" s="33">
        <v>13</v>
      </c>
      <c r="F5" s="34">
        <v>1100</v>
      </c>
      <c r="G5" s="35">
        <v>14300</v>
      </c>
    </row>
    <row r="6" spans="2:7">
      <c r="B6" s="32" t="s">
        <v>110</v>
      </c>
      <c r="C6" s="33" t="s">
        <v>111</v>
      </c>
      <c r="D6" s="33" t="s">
        <v>115</v>
      </c>
      <c r="E6" s="33">
        <v>15</v>
      </c>
      <c r="F6" s="34">
        <v>558.33333333333337</v>
      </c>
      <c r="G6" s="35">
        <v>8375</v>
      </c>
    </row>
    <row r="7" spans="2:7">
      <c r="B7" s="32" t="s">
        <v>110</v>
      </c>
      <c r="C7" s="33" t="s">
        <v>116</v>
      </c>
      <c r="D7" s="33" t="s">
        <v>117</v>
      </c>
      <c r="E7" s="33">
        <v>14</v>
      </c>
      <c r="F7" s="34">
        <v>440.83333333333331</v>
      </c>
      <c r="G7" s="35">
        <v>6171.6666666666661</v>
      </c>
    </row>
    <row r="8" spans="2:7">
      <c r="B8" s="32" t="s">
        <v>110</v>
      </c>
      <c r="C8" s="33" t="s">
        <v>116</v>
      </c>
      <c r="D8" s="33" t="s">
        <v>118</v>
      </c>
      <c r="E8" s="33">
        <v>8</v>
      </c>
      <c r="F8" s="34">
        <v>1525</v>
      </c>
      <c r="G8" s="35">
        <v>12200</v>
      </c>
    </row>
    <row r="9" spans="2:7">
      <c r="B9" s="32" t="s">
        <v>110</v>
      </c>
      <c r="C9" s="33" t="s">
        <v>116</v>
      </c>
      <c r="D9" s="33" t="s">
        <v>119</v>
      </c>
      <c r="E9" s="33">
        <v>9</v>
      </c>
      <c r="F9" s="34">
        <v>908.33333333333337</v>
      </c>
      <c r="G9" s="35">
        <v>8175</v>
      </c>
    </row>
    <row r="10" spans="2:7">
      <c r="B10" s="32" t="s">
        <v>120</v>
      </c>
      <c r="C10" s="33" t="s">
        <v>111</v>
      </c>
      <c r="D10" s="33" t="s">
        <v>121</v>
      </c>
      <c r="E10" s="33">
        <v>14</v>
      </c>
      <c r="F10" s="34">
        <v>4800</v>
      </c>
      <c r="G10" s="35">
        <v>67200</v>
      </c>
    </row>
    <row r="11" spans="2:7">
      <c r="B11" s="32" t="s">
        <v>120</v>
      </c>
      <c r="C11" s="33" t="s">
        <v>111</v>
      </c>
      <c r="D11" s="33" t="s">
        <v>122</v>
      </c>
      <c r="E11" s="33">
        <v>14</v>
      </c>
      <c r="F11" s="34">
        <v>675</v>
      </c>
      <c r="G11" s="35">
        <v>9450</v>
      </c>
    </row>
    <row r="12" spans="2:7">
      <c r="B12" s="32" t="s">
        <v>120</v>
      </c>
      <c r="C12" s="33" t="s">
        <v>116</v>
      </c>
      <c r="D12" s="33" t="s">
        <v>123</v>
      </c>
      <c r="E12" s="33">
        <v>9</v>
      </c>
      <c r="F12" s="34">
        <v>1491.6666666666667</v>
      </c>
      <c r="G12" s="35">
        <v>13425</v>
      </c>
    </row>
    <row r="13" spans="2:7">
      <c r="B13" s="32" t="s">
        <v>120</v>
      </c>
      <c r="C13" s="33" t="s">
        <v>116</v>
      </c>
      <c r="D13" s="33" t="s">
        <v>124</v>
      </c>
      <c r="E13" s="33">
        <v>12</v>
      </c>
      <c r="F13" s="34">
        <v>1166.6666666666667</v>
      </c>
      <c r="G13" s="35">
        <v>14000</v>
      </c>
    </row>
    <row r="14" spans="2:7">
      <c r="B14" s="32" t="s">
        <v>120</v>
      </c>
      <c r="C14" s="33" t="s">
        <v>116</v>
      </c>
      <c r="D14" s="33" t="s">
        <v>125</v>
      </c>
      <c r="E14" s="33">
        <v>15</v>
      </c>
      <c r="F14" s="34">
        <v>1000</v>
      </c>
      <c r="G14" s="35">
        <v>15000</v>
      </c>
    </row>
    <row r="15" spans="2:7">
      <c r="B15" s="36" t="s">
        <v>120</v>
      </c>
      <c r="C15" s="37" t="s">
        <v>116</v>
      </c>
      <c r="D15" s="37" t="s">
        <v>126</v>
      </c>
      <c r="E15" s="37">
        <v>13</v>
      </c>
      <c r="F15" s="38">
        <v>600</v>
      </c>
      <c r="G15" s="38">
        <v>7800</v>
      </c>
    </row>
    <row r="16" spans="2:7">
      <c r="F16" s="39"/>
      <c r="G16" s="40"/>
    </row>
    <row r="17" spans="6:7">
      <c r="F17" s="41" t="s">
        <v>127</v>
      </c>
      <c r="G17" s="42">
        <f>SUM(G3:G14)</f>
        <v>176246.66666666666</v>
      </c>
    </row>
    <row r="18" spans="6:7">
      <c r="F18" s="3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5A0A-23AB-424F-9FFF-6859AF2D5A36}">
  <dimension ref="B2:I20"/>
  <sheetViews>
    <sheetView zoomScaleNormal="100" workbookViewId="0">
      <selection activeCell="C29" sqref="C29"/>
    </sheetView>
  </sheetViews>
  <sheetFormatPr defaultColWidth="8.90625" defaultRowHeight="14.5"/>
  <cols>
    <col min="1" max="1" width="4" style="31" customWidth="1"/>
    <col min="2" max="2" width="20.08984375" style="31" customWidth="1"/>
    <col min="3" max="16384" width="8.90625" style="31"/>
  </cols>
  <sheetData>
    <row r="2" spans="2:9" ht="28.75" customHeight="1" thickBot="1">
      <c r="B2" s="43" t="s">
        <v>38</v>
      </c>
      <c r="C2" s="44" t="s">
        <v>128</v>
      </c>
      <c r="D2" s="44" t="s">
        <v>129</v>
      </c>
      <c r="E2" s="44" t="s">
        <v>130</v>
      </c>
      <c r="F2" s="44" t="s">
        <v>131</v>
      </c>
      <c r="G2" s="44" t="s">
        <v>132</v>
      </c>
      <c r="H2" s="44" t="s">
        <v>133</v>
      </c>
      <c r="I2" s="44" t="s">
        <v>1</v>
      </c>
    </row>
    <row r="3" spans="2:9">
      <c r="B3" s="45" t="s">
        <v>134</v>
      </c>
      <c r="C3" s="46" t="s">
        <v>135</v>
      </c>
      <c r="D3" s="46" t="s">
        <v>136</v>
      </c>
      <c r="E3" s="46" t="s">
        <v>137</v>
      </c>
      <c r="F3" s="46" t="s">
        <v>138</v>
      </c>
      <c r="G3" s="46" t="s">
        <v>139</v>
      </c>
      <c r="H3" s="46" t="s">
        <v>140</v>
      </c>
      <c r="I3" s="46">
        <f t="shared" ref="I3:I20" si="0">SUM(C3:H3)</f>
        <v>0</v>
      </c>
    </row>
    <row r="4" spans="2:9">
      <c r="B4" s="47" t="s">
        <v>141</v>
      </c>
      <c r="C4" s="48" t="s">
        <v>142</v>
      </c>
      <c r="D4" s="48" t="s">
        <v>143</v>
      </c>
      <c r="E4" s="48" t="s">
        <v>144</v>
      </c>
      <c r="F4" s="48" t="s">
        <v>145</v>
      </c>
      <c r="G4" s="48" t="s">
        <v>142</v>
      </c>
      <c r="H4" s="48" t="s">
        <v>146</v>
      </c>
      <c r="I4" s="48">
        <f t="shared" si="0"/>
        <v>0</v>
      </c>
    </row>
    <row r="5" spans="2:9">
      <c r="B5" s="47" t="s">
        <v>147</v>
      </c>
      <c r="C5" s="48" t="s">
        <v>148</v>
      </c>
      <c r="D5" s="48" t="s">
        <v>149</v>
      </c>
      <c r="E5" s="48" t="s">
        <v>150</v>
      </c>
      <c r="F5" s="48" t="s">
        <v>145</v>
      </c>
      <c r="G5" s="48" t="s">
        <v>151</v>
      </c>
      <c r="H5" s="48" t="s">
        <v>152</v>
      </c>
      <c r="I5" s="48">
        <f t="shared" si="0"/>
        <v>0</v>
      </c>
    </row>
    <row r="6" spans="2:9">
      <c r="B6" s="47" t="s">
        <v>153</v>
      </c>
      <c r="C6" s="48" t="s">
        <v>154</v>
      </c>
      <c r="D6" s="48" t="s">
        <v>155</v>
      </c>
      <c r="E6" s="48" t="s">
        <v>138</v>
      </c>
      <c r="F6" s="48" t="s">
        <v>156</v>
      </c>
      <c r="G6" s="48" t="s">
        <v>157</v>
      </c>
      <c r="H6" s="48" t="s">
        <v>158</v>
      </c>
      <c r="I6" s="48">
        <f t="shared" si="0"/>
        <v>0</v>
      </c>
    </row>
    <row r="7" spans="2:9">
      <c r="B7" s="47" t="s">
        <v>159</v>
      </c>
      <c r="C7" s="48" t="s">
        <v>160</v>
      </c>
      <c r="D7" s="48" t="s">
        <v>156</v>
      </c>
      <c r="E7" s="48" t="s">
        <v>161</v>
      </c>
      <c r="F7" s="48" t="s">
        <v>162</v>
      </c>
      <c r="G7" s="48" t="s">
        <v>163</v>
      </c>
      <c r="H7" s="48" t="s">
        <v>164</v>
      </c>
      <c r="I7" s="48">
        <f t="shared" si="0"/>
        <v>0</v>
      </c>
    </row>
    <row r="8" spans="2:9">
      <c r="B8" s="47" t="s">
        <v>165</v>
      </c>
      <c r="C8" s="48" t="s">
        <v>156</v>
      </c>
      <c r="D8" s="48" t="s">
        <v>161</v>
      </c>
      <c r="E8" s="48" t="s">
        <v>166</v>
      </c>
      <c r="F8" s="48" t="s">
        <v>154</v>
      </c>
      <c r="G8" s="48" t="s">
        <v>142</v>
      </c>
      <c r="H8" s="48" t="s">
        <v>138</v>
      </c>
      <c r="I8" s="48">
        <f t="shared" si="0"/>
        <v>0</v>
      </c>
    </row>
    <row r="9" spans="2:9">
      <c r="B9" s="47" t="s">
        <v>167</v>
      </c>
      <c r="C9" s="48" t="s">
        <v>156</v>
      </c>
      <c r="D9" s="48" t="s">
        <v>168</v>
      </c>
      <c r="E9" s="48" t="s">
        <v>164</v>
      </c>
      <c r="F9" s="48" t="s">
        <v>169</v>
      </c>
      <c r="G9" s="48" t="s">
        <v>162</v>
      </c>
      <c r="H9" s="48" t="s">
        <v>139</v>
      </c>
      <c r="I9" s="48">
        <f t="shared" si="0"/>
        <v>0</v>
      </c>
    </row>
    <row r="10" spans="2:9">
      <c r="B10" s="47" t="s">
        <v>170</v>
      </c>
      <c r="C10" s="48" t="s">
        <v>168</v>
      </c>
      <c r="D10" s="48" t="s">
        <v>146</v>
      </c>
      <c r="E10" s="48" t="s">
        <v>166</v>
      </c>
      <c r="F10" s="48" t="s">
        <v>152</v>
      </c>
      <c r="G10" s="48" t="s">
        <v>140</v>
      </c>
      <c r="H10" s="48" t="s">
        <v>171</v>
      </c>
      <c r="I10" s="48">
        <f t="shared" si="0"/>
        <v>0</v>
      </c>
    </row>
    <row r="11" spans="2:9">
      <c r="B11" s="47" t="s">
        <v>172</v>
      </c>
      <c r="C11" s="48" t="s">
        <v>136</v>
      </c>
      <c r="D11" s="48" t="s">
        <v>171</v>
      </c>
      <c r="E11" s="48" t="s">
        <v>173</v>
      </c>
      <c r="F11" s="48" t="s">
        <v>174</v>
      </c>
      <c r="G11" s="48" t="s">
        <v>174</v>
      </c>
      <c r="H11" s="48" t="s">
        <v>139</v>
      </c>
      <c r="I11" s="48">
        <f t="shared" si="0"/>
        <v>0</v>
      </c>
    </row>
    <row r="12" spans="2:9">
      <c r="B12" s="47" t="s">
        <v>175</v>
      </c>
      <c r="C12" s="48" t="s">
        <v>156</v>
      </c>
      <c r="D12" s="48" t="s">
        <v>168</v>
      </c>
      <c r="E12" s="48" t="s">
        <v>176</v>
      </c>
      <c r="F12" s="48" t="s">
        <v>137</v>
      </c>
      <c r="G12" s="48" t="s">
        <v>177</v>
      </c>
      <c r="H12" s="48" t="s">
        <v>169</v>
      </c>
      <c r="I12" s="48">
        <f t="shared" si="0"/>
        <v>0</v>
      </c>
    </row>
    <row r="13" spans="2:9">
      <c r="B13" s="47" t="s">
        <v>178</v>
      </c>
      <c r="C13" s="48" t="s">
        <v>140</v>
      </c>
      <c r="D13" s="48" t="s">
        <v>179</v>
      </c>
      <c r="E13" s="48" t="s">
        <v>173</v>
      </c>
      <c r="F13" s="48" t="s">
        <v>164</v>
      </c>
      <c r="G13" s="48" t="s">
        <v>169</v>
      </c>
      <c r="H13" s="48" t="s">
        <v>138</v>
      </c>
      <c r="I13" s="48">
        <f t="shared" si="0"/>
        <v>0</v>
      </c>
    </row>
    <row r="14" spans="2:9">
      <c r="B14" s="47" t="s">
        <v>180</v>
      </c>
      <c r="C14" s="48" t="s">
        <v>181</v>
      </c>
      <c r="D14" s="48" t="s">
        <v>182</v>
      </c>
      <c r="E14" s="48" t="s">
        <v>183</v>
      </c>
      <c r="F14" s="48" t="s">
        <v>164</v>
      </c>
      <c r="G14" s="48" t="s">
        <v>177</v>
      </c>
      <c r="H14" s="48" t="s">
        <v>142</v>
      </c>
      <c r="I14" s="48">
        <f t="shared" si="0"/>
        <v>0</v>
      </c>
    </row>
    <row r="15" spans="2:9">
      <c r="B15" s="47" t="s">
        <v>184</v>
      </c>
      <c r="C15" s="48" t="s">
        <v>171</v>
      </c>
      <c r="D15" s="48" t="s">
        <v>185</v>
      </c>
      <c r="E15" s="48" t="s">
        <v>140</v>
      </c>
      <c r="F15" s="48" t="s">
        <v>169</v>
      </c>
      <c r="G15" s="48" t="s">
        <v>186</v>
      </c>
      <c r="H15" s="48" t="s">
        <v>182</v>
      </c>
      <c r="I15" s="48">
        <f t="shared" si="0"/>
        <v>0</v>
      </c>
    </row>
    <row r="16" spans="2:9">
      <c r="B16" s="47" t="s">
        <v>187</v>
      </c>
      <c r="C16" s="48" t="s">
        <v>164</v>
      </c>
      <c r="D16" s="48" t="s">
        <v>143</v>
      </c>
      <c r="E16" s="48" t="s">
        <v>145</v>
      </c>
      <c r="F16" s="48" t="s">
        <v>164</v>
      </c>
      <c r="G16" s="48" t="s">
        <v>156</v>
      </c>
      <c r="H16" s="48" t="s">
        <v>157</v>
      </c>
      <c r="I16" s="48">
        <f t="shared" si="0"/>
        <v>0</v>
      </c>
    </row>
    <row r="17" spans="2:9">
      <c r="B17" s="47" t="s">
        <v>188</v>
      </c>
      <c r="C17" s="48" t="s">
        <v>189</v>
      </c>
      <c r="D17" s="48" t="s">
        <v>190</v>
      </c>
      <c r="E17" s="48" t="s">
        <v>173</v>
      </c>
      <c r="F17" s="48" t="s">
        <v>183</v>
      </c>
      <c r="G17" s="48" t="s">
        <v>174</v>
      </c>
      <c r="H17" s="48" t="s">
        <v>136</v>
      </c>
      <c r="I17" s="48">
        <f t="shared" si="0"/>
        <v>0</v>
      </c>
    </row>
    <row r="18" spans="2:9">
      <c r="B18" s="47" t="s">
        <v>191</v>
      </c>
      <c r="C18" s="48" t="s">
        <v>183</v>
      </c>
      <c r="D18" s="48" t="s">
        <v>135</v>
      </c>
      <c r="E18" s="48" t="s">
        <v>160</v>
      </c>
      <c r="F18" s="48" t="s">
        <v>140</v>
      </c>
      <c r="G18" s="48" t="s">
        <v>192</v>
      </c>
      <c r="H18" s="48" t="s">
        <v>145</v>
      </c>
      <c r="I18" s="48">
        <f t="shared" si="0"/>
        <v>0</v>
      </c>
    </row>
    <row r="19" spans="2:9">
      <c r="B19" s="47" t="s">
        <v>193</v>
      </c>
      <c r="C19" s="48" t="s">
        <v>186</v>
      </c>
      <c r="D19" s="48" t="s">
        <v>136</v>
      </c>
      <c r="E19" s="48" t="s">
        <v>149</v>
      </c>
      <c r="F19" s="48" t="s">
        <v>143</v>
      </c>
      <c r="G19" s="48" t="s">
        <v>189</v>
      </c>
      <c r="H19" s="48" t="s">
        <v>166</v>
      </c>
      <c r="I19" s="48">
        <f t="shared" si="0"/>
        <v>0</v>
      </c>
    </row>
    <row r="20" spans="2:9">
      <c r="B20" s="47" t="s">
        <v>194</v>
      </c>
      <c r="C20" s="48" t="s">
        <v>152</v>
      </c>
      <c r="D20" s="48" t="s">
        <v>162</v>
      </c>
      <c r="E20" s="48" t="s">
        <v>154</v>
      </c>
      <c r="F20" s="48" t="s">
        <v>151</v>
      </c>
      <c r="G20" s="48" t="s">
        <v>195</v>
      </c>
      <c r="H20" s="48" t="s">
        <v>140</v>
      </c>
      <c r="I20" s="48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7025-DC94-4E93-844F-913CEE8A3585}">
  <dimension ref="B2:I20"/>
  <sheetViews>
    <sheetView zoomScaleNormal="100" workbookViewId="0">
      <selection activeCell="C29" sqref="C29"/>
    </sheetView>
  </sheetViews>
  <sheetFormatPr defaultColWidth="8.90625" defaultRowHeight="14.5"/>
  <cols>
    <col min="1" max="1" width="4" style="31" customWidth="1"/>
    <col min="2" max="2" width="20.08984375" style="31" customWidth="1"/>
    <col min="3" max="16384" width="8.90625" style="31"/>
  </cols>
  <sheetData>
    <row r="2" spans="2:9" ht="28.75" customHeight="1" thickBot="1">
      <c r="B2" s="43" t="s">
        <v>38</v>
      </c>
      <c r="C2" s="44" t="s">
        <v>128</v>
      </c>
      <c r="D2" s="44" t="s">
        <v>129</v>
      </c>
      <c r="E2" s="44" t="s">
        <v>130</v>
      </c>
      <c r="F2" s="44" t="s">
        <v>131</v>
      </c>
      <c r="G2" s="44" t="s">
        <v>132</v>
      </c>
      <c r="H2" s="44" t="s">
        <v>133</v>
      </c>
      <c r="I2" s="44" t="s">
        <v>1</v>
      </c>
    </row>
    <row r="3" spans="2:9">
      <c r="B3" s="45" t="s">
        <v>134</v>
      </c>
      <c r="C3" s="46" t="s">
        <v>135</v>
      </c>
      <c r="D3" s="46" t="s">
        <v>136</v>
      </c>
      <c r="E3" s="46" t="s">
        <v>137</v>
      </c>
      <c r="F3" s="46" t="s">
        <v>138</v>
      </c>
      <c r="G3" s="46" t="s">
        <v>139</v>
      </c>
      <c r="H3" s="46" t="s">
        <v>140</v>
      </c>
      <c r="I3" s="46">
        <f t="shared" ref="I3:I20" si="0">SUM(C3:H3)</f>
        <v>0</v>
      </c>
    </row>
    <row r="4" spans="2:9">
      <c r="B4" s="47" t="s">
        <v>141</v>
      </c>
      <c r="C4" s="48">
        <v>93</v>
      </c>
      <c r="D4" s="48" t="s">
        <v>143</v>
      </c>
      <c r="E4" s="48">
        <v>85</v>
      </c>
      <c r="F4" s="48" t="s">
        <v>145</v>
      </c>
      <c r="G4" s="48" t="s">
        <v>142</v>
      </c>
      <c r="H4" s="48" t="s">
        <v>146</v>
      </c>
      <c r="I4" s="48">
        <f t="shared" si="0"/>
        <v>178</v>
      </c>
    </row>
    <row r="5" spans="2:9">
      <c r="B5" s="47" t="s">
        <v>147</v>
      </c>
      <c r="C5" s="48">
        <v>58</v>
      </c>
      <c r="D5" s="48" t="s">
        <v>149</v>
      </c>
      <c r="E5" s="48" t="s">
        <v>150</v>
      </c>
      <c r="F5" s="48" t="s">
        <v>145</v>
      </c>
      <c r="G5" s="48" t="s">
        <v>151</v>
      </c>
      <c r="H5" s="48">
        <v>94</v>
      </c>
      <c r="I5" s="48">
        <f t="shared" si="0"/>
        <v>152</v>
      </c>
    </row>
    <row r="6" spans="2:9">
      <c r="B6" s="47" t="s">
        <v>153</v>
      </c>
      <c r="C6" s="48">
        <v>63</v>
      </c>
      <c r="D6" s="48">
        <v>90</v>
      </c>
      <c r="E6" s="48" t="s">
        <v>138</v>
      </c>
      <c r="F6" s="48" t="s">
        <v>156</v>
      </c>
      <c r="G6" s="48" t="s">
        <v>157</v>
      </c>
      <c r="H6" s="48">
        <v>79</v>
      </c>
      <c r="I6" s="48">
        <f t="shared" si="0"/>
        <v>232</v>
      </c>
    </row>
    <row r="7" spans="2:9">
      <c r="B7" s="47" t="s">
        <v>159</v>
      </c>
      <c r="C7" s="48">
        <v>66</v>
      </c>
      <c r="D7" s="48">
        <v>76</v>
      </c>
      <c r="E7" s="48">
        <v>50</v>
      </c>
      <c r="F7" s="48">
        <v>88</v>
      </c>
      <c r="G7" s="48">
        <v>86</v>
      </c>
      <c r="H7" s="48" t="s">
        <v>164</v>
      </c>
      <c r="I7" s="48">
        <f t="shared" si="0"/>
        <v>366</v>
      </c>
    </row>
    <row r="8" spans="2:9">
      <c r="B8" s="47" t="s">
        <v>165</v>
      </c>
      <c r="C8" s="48" t="s">
        <v>156</v>
      </c>
      <c r="D8" s="48" t="s">
        <v>161</v>
      </c>
      <c r="E8" s="48" t="s">
        <v>166</v>
      </c>
      <c r="F8" s="48">
        <v>63</v>
      </c>
      <c r="G8" s="48" t="s">
        <v>142</v>
      </c>
      <c r="H8" s="48" t="s">
        <v>138</v>
      </c>
      <c r="I8" s="48">
        <f t="shared" si="0"/>
        <v>63</v>
      </c>
    </row>
    <row r="9" spans="2:9">
      <c r="B9" s="47" t="s">
        <v>167</v>
      </c>
      <c r="C9" s="48" t="s">
        <v>156</v>
      </c>
      <c r="D9" s="48">
        <v>51</v>
      </c>
      <c r="E9" s="48" t="s">
        <v>164</v>
      </c>
      <c r="F9" s="48">
        <v>83</v>
      </c>
      <c r="G9" s="48" t="s">
        <v>162</v>
      </c>
      <c r="H9" s="48" t="s">
        <v>139</v>
      </c>
      <c r="I9" s="48">
        <f t="shared" si="0"/>
        <v>134</v>
      </c>
    </row>
    <row r="10" spans="2:9">
      <c r="B10" s="47" t="s">
        <v>170</v>
      </c>
      <c r="C10" s="48" t="s">
        <v>168</v>
      </c>
      <c r="D10" s="48">
        <v>74</v>
      </c>
      <c r="E10" s="48" t="s">
        <v>166</v>
      </c>
      <c r="F10" s="48" t="s">
        <v>152</v>
      </c>
      <c r="G10" s="48">
        <v>77</v>
      </c>
      <c r="H10" s="48" t="s">
        <v>171</v>
      </c>
      <c r="I10" s="48">
        <f t="shared" si="0"/>
        <v>151</v>
      </c>
    </row>
    <row r="11" spans="2:9">
      <c r="B11" s="47" t="s">
        <v>172</v>
      </c>
      <c r="C11" s="48" t="s">
        <v>136</v>
      </c>
      <c r="D11" s="48" t="s">
        <v>171</v>
      </c>
      <c r="E11" s="48" t="s">
        <v>173</v>
      </c>
      <c r="F11" s="48">
        <v>81</v>
      </c>
      <c r="G11" s="48">
        <v>81</v>
      </c>
      <c r="H11" s="48" t="s">
        <v>139</v>
      </c>
      <c r="I11" s="48">
        <f t="shared" si="0"/>
        <v>162</v>
      </c>
    </row>
    <row r="12" spans="2:9">
      <c r="B12" s="47" t="s">
        <v>175</v>
      </c>
      <c r="C12" s="48">
        <v>76</v>
      </c>
      <c r="D12" s="48">
        <v>51</v>
      </c>
      <c r="E12" s="48" t="s">
        <v>176</v>
      </c>
      <c r="F12" s="48" t="s">
        <v>137</v>
      </c>
      <c r="G12" s="48" t="s">
        <v>177</v>
      </c>
      <c r="H12" s="48" t="s">
        <v>169</v>
      </c>
      <c r="I12" s="48">
        <f t="shared" si="0"/>
        <v>127</v>
      </c>
    </row>
    <row r="13" spans="2:9">
      <c r="B13" s="47" t="s">
        <v>178</v>
      </c>
      <c r="C13" s="48">
        <v>77</v>
      </c>
      <c r="D13" s="48" t="s">
        <v>179</v>
      </c>
      <c r="E13" s="48" t="s">
        <v>173</v>
      </c>
      <c r="F13" s="48" t="s">
        <v>164</v>
      </c>
      <c r="G13" s="48">
        <v>83</v>
      </c>
      <c r="H13" s="48" t="s">
        <v>138</v>
      </c>
      <c r="I13" s="48">
        <f t="shared" si="0"/>
        <v>160</v>
      </c>
    </row>
    <row r="14" spans="2:9">
      <c r="B14" s="47" t="s">
        <v>180</v>
      </c>
      <c r="C14" s="48">
        <v>69</v>
      </c>
      <c r="D14" s="48">
        <v>62</v>
      </c>
      <c r="E14" s="48" t="s">
        <v>183</v>
      </c>
      <c r="F14" s="48" t="s">
        <v>164</v>
      </c>
      <c r="G14" s="48" t="s">
        <v>177</v>
      </c>
      <c r="H14" s="48" t="s">
        <v>142</v>
      </c>
      <c r="I14" s="48">
        <f t="shared" si="0"/>
        <v>131</v>
      </c>
    </row>
    <row r="15" spans="2:9">
      <c r="B15" s="47" t="s">
        <v>184</v>
      </c>
      <c r="C15" s="48">
        <v>65</v>
      </c>
      <c r="D15" s="48" t="s">
        <v>185</v>
      </c>
      <c r="E15" s="48" t="s">
        <v>140</v>
      </c>
      <c r="F15" s="48" t="s">
        <v>169</v>
      </c>
      <c r="G15" s="48" t="s">
        <v>186</v>
      </c>
      <c r="H15" s="48" t="s">
        <v>182</v>
      </c>
      <c r="I15" s="48">
        <f t="shared" si="0"/>
        <v>65</v>
      </c>
    </row>
    <row r="16" spans="2:9">
      <c r="B16" s="47" t="s">
        <v>187</v>
      </c>
      <c r="C16" s="48">
        <v>99</v>
      </c>
      <c r="D16" s="48" t="s">
        <v>143</v>
      </c>
      <c r="E16" s="48" t="s">
        <v>145</v>
      </c>
      <c r="F16" s="48">
        <v>99</v>
      </c>
      <c r="G16" s="48" t="s">
        <v>156</v>
      </c>
      <c r="H16" s="48" t="s">
        <v>157</v>
      </c>
      <c r="I16" s="48">
        <f t="shared" si="0"/>
        <v>198</v>
      </c>
    </row>
    <row r="17" spans="2:9">
      <c r="B17" s="47" t="s">
        <v>188</v>
      </c>
      <c r="C17" s="48" t="s">
        <v>189</v>
      </c>
      <c r="D17" s="48" t="s">
        <v>190</v>
      </c>
      <c r="E17" s="48" t="s">
        <v>173</v>
      </c>
      <c r="F17" s="48">
        <v>97</v>
      </c>
      <c r="G17" s="48">
        <v>81</v>
      </c>
      <c r="H17" s="48">
        <v>91</v>
      </c>
      <c r="I17" s="48">
        <f t="shared" si="0"/>
        <v>269</v>
      </c>
    </row>
    <row r="18" spans="2:9">
      <c r="B18" s="47" t="s">
        <v>191</v>
      </c>
      <c r="C18" s="48" t="s">
        <v>183</v>
      </c>
      <c r="D18" s="48" t="s">
        <v>135</v>
      </c>
      <c r="E18" s="48" t="s">
        <v>160</v>
      </c>
      <c r="F18" s="48">
        <v>77</v>
      </c>
      <c r="G18" s="48" t="s">
        <v>192</v>
      </c>
      <c r="H18" s="48">
        <v>96</v>
      </c>
      <c r="I18" s="48">
        <f t="shared" si="0"/>
        <v>173</v>
      </c>
    </row>
    <row r="19" spans="2:9">
      <c r="B19" s="47" t="s">
        <v>193</v>
      </c>
      <c r="C19" s="48" t="s">
        <v>186</v>
      </c>
      <c r="D19" s="48">
        <v>91</v>
      </c>
      <c r="E19" s="48" t="s">
        <v>149</v>
      </c>
      <c r="F19" s="48" t="s">
        <v>143</v>
      </c>
      <c r="G19" s="48" t="s">
        <v>189</v>
      </c>
      <c r="H19" s="48" t="s">
        <v>166</v>
      </c>
      <c r="I19" s="48">
        <f t="shared" si="0"/>
        <v>91</v>
      </c>
    </row>
    <row r="20" spans="2:9">
      <c r="B20" s="47" t="s">
        <v>194</v>
      </c>
      <c r="C20" s="48" t="s">
        <v>152</v>
      </c>
      <c r="D20" s="48" t="s">
        <v>162</v>
      </c>
      <c r="E20" s="48" t="s">
        <v>154</v>
      </c>
      <c r="F20" s="48" t="s">
        <v>151</v>
      </c>
      <c r="G20" s="48" t="s">
        <v>195</v>
      </c>
      <c r="H20" s="48">
        <v>77</v>
      </c>
      <c r="I20" s="48">
        <f t="shared" si="0"/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2022Q3Stock</vt:lpstr>
      <vt:lpstr>2022Q4Stock</vt:lpstr>
      <vt:lpstr>2023Q1Stock</vt:lpstr>
      <vt:lpstr>2023Q2Stock</vt:lpstr>
      <vt:lpstr>2023Q3Stock</vt:lpstr>
      <vt:lpstr>Autofill</vt:lpstr>
      <vt:lpstr>Flash Fill</vt:lpstr>
      <vt:lpstr>Errors</vt:lpstr>
      <vt:lpstr>Error 1</vt:lpstr>
      <vt:lpstr>Error 2</vt:lpstr>
      <vt:lpstr>Error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2023-08-21T19:54:17Z</dcterms:created>
  <dcterms:modified xsi:type="dcterms:W3CDTF">2024-01-23T22:31:16Z</dcterms:modified>
</cp:coreProperties>
</file>