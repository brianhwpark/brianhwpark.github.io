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6EEE5282-1266-4D4A-AD7D-D41EFD7D7C6B}" xr6:coauthVersionLast="47" xr6:coauthVersionMax="47" xr10:uidLastSave="{00000000-0000-0000-0000-000000000000}"/>
  <bookViews>
    <workbookView xWindow="-28920" yWindow="-120" windowWidth="29040" windowHeight="15720" xr2:uid="{BFB51DB3-04EE-47BB-A3CB-D850018C9256}"/>
  </bookViews>
  <sheets>
    <sheet name="References" sheetId="3" r:id="rId1"/>
    <sheet name="Errors" sheetId="6" r:id="rId2"/>
    <sheet name="Error 1" sheetId="7" r:id="rId3"/>
    <sheet name="Error 2" sheetId="8" r:id="rId4"/>
    <sheet name="Error 3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9" l="1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G17" i="7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B8" i="6" l="1"/>
  <c r="B7" i="6"/>
  <c r="B6" i="6" a="1"/>
  <c r="B6" i="6" s="1"/>
  <c r="B5" i="6" a="1"/>
  <c r="B5" i="6" s="1"/>
  <c r="B4" i="6" a="1"/>
  <c r="B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<sst xmlns="http://schemas.openxmlformats.org/spreadsheetml/2006/main" count="307" uniqueCount="121">
  <si>
    <t>Name</t>
  </si>
  <si>
    <t>Barb Gifford</t>
  </si>
  <si>
    <t>Aida Garrison</t>
  </si>
  <si>
    <t>Jeremy McCann</t>
  </si>
  <si>
    <t>Wanda Rogers</t>
  </si>
  <si>
    <t>Trevor Kirk</t>
  </si>
  <si>
    <t>Erika Ibarra</t>
  </si>
  <si>
    <t>Bernadette Cruz</t>
  </si>
  <si>
    <t>Kendra Welch</t>
  </si>
  <si>
    <t>Lucas Mosley</t>
  </si>
  <si>
    <t>Mildred Blackwell</t>
  </si>
  <si>
    <t>Mario Robertson</t>
  </si>
  <si>
    <t>Norma Good</t>
  </si>
  <si>
    <t>Bobbie McDermott</t>
  </si>
  <si>
    <t>Warren Todd</t>
  </si>
  <si>
    <t>Shelia Donahue</t>
  </si>
  <si>
    <t>Lucille Gallegos</t>
  </si>
  <si>
    <t>Mandy Banks</t>
  </si>
  <si>
    <t>Tara Green</t>
  </si>
  <si>
    <t>Nell Bryan</t>
  </si>
  <si>
    <t>Marshall Boyle</t>
  </si>
  <si>
    <t>2023Q1</t>
  </si>
  <si>
    <t>2023Q2</t>
  </si>
  <si>
    <t>2023Q3</t>
  </si>
  <si>
    <t>2023YTD</t>
  </si>
  <si>
    <t>Commission</t>
  </si>
  <si>
    <t>Commission Scheme</t>
  </si>
  <si>
    <t>Sales</t>
  </si>
  <si>
    <t>EOS 70D</t>
    <phoneticPr fontId="1" type="noConversion"/>
  </si>
  <si>
    <t>EOS 80D</t>
    <phoneticPr fontId="1" type="noConversion"/>
  </si>
  <si>
    <t>EOS 90D</t>
    <phoneticPr fontId="1" type="noConversion"/>
  </si>
  <si>
    <t>EOS 7D Mark II</t>
    <phoneticPr fontId="1" type="noConversion"/>
  </si>
  <si>
    <t>EF-M 32mm F1.4 STM</t>
    <phoneticPr fontId="1" type="noConversion"/>
  </si>
  <si>
    <t>EF 24-70mm F2.8L II USM</t>
    <phoneticPr fontId="1" type="noConversion"/>
  </si>
  <si>
    <t>RF 24-105mm F4L IS USM</t>
    <phoneticPr fontId="1" type="noConversion"/>
  </si>
  <si>
    <t>Nikon D5</t>
    <phoneticPr fontId="1" type="noConversion"/>
  </si>
  <si>
    <t>Nikon D7500</t>
    <phoneticPr fontId="1" type="noConversion"/>
  </si>
  <si>
    <t>AF-S NIKKOR 24-70mm F2.8E ED VR</t>
    <phoneticPr fontId="1" type="noConversion"/>
  </si>
  <si>
    <t>AF-S NIKKOR 14-24mm F2.8G ED</t>
    <phoneticPr fontId="1" type="noConversion"/>
  </si>
  <si>
    <t>AF-S NIKKOR 200-500m F5.6E ED VR</t>
    <phoneticPr fontId="1" type="noConversion"/>
  </si>
  <si>
    <t>AF-S NIKKOR 20mm F1.8G ED</t>
    <phoneticPr fontId="1" type="noConversion"/>
  </si>
  <si>
    <t>52</t>
  </si>
  <si>
    <t>91</t>
  </si>
  <si>
    <t>61</t>
  </si>
  <si>
    <t>67</t>
  </si>
  <si>
    <t>87</t>
  </si>
  <si>
    <t>77</t>
  </si>
  <si>
    <t>69</t>
  </si>
  <si>
    <t>93</t>
  </si>
  <si>
    <t>98</t>
  </si>
  <si>
    <t>85</t>
  </si>
  <si>
    <t>96</t>
  </si>
  <si>
    <t>74</t>
  </si>
  <si>
    <t>58</t>
  </si>
  <si>
    <t>64</t>
  </si>
  <si>
    <t>89</t>
  </si>
  <si>
    <t>100</t>
  </si>
  <si>
    <t>94</t>
  </si>
  <si>
    <t>63</t>
  </si>
  <si>
    <t>90</t>
  </si>
  <si>
    <t>76</t>
  </si>
  <si>
    <t>75</t>
  </si>
  <si>
    <t>79</t>
  </si>
  <si>
    <t>66</t>
  </si>
  <si>
    <t>50</t>
  </si>
  <si>
    <t>88</t>
  </si>
  <si>
    <t>86</t>
  </si>
  <si>
    <t>99</t>
  </si>
  <si>
    <t>68</t>
  </si>
  <si>
    <t>51</t>
  </si>
  <si>
    <t>83</t>
  </si>
  <si>
    <t>65</t>
  </si>
  <si>
    <t>92</t>
  </si>
  <si>
    <t>81</t>
  </si>
  <si>
    <t>72</t>
  </si>
  <si>
    <t>56</t>
  </si>
  <si>
    <t>95</t>
  </si>
  <si>
    <t>62</t>
  </si>
  <si>
    <t>97</t>
  </si>
  <si>
    <t>70</t>
  </si>
  <si>
    <t>73</t>
  </si>
  <si>
    <t>84</t>
  </si>
  <si>
    <t>78</t>
  </si>
  <si>
    <t>71</t>
  </si>
  <si>
    <t>54</t>
  </si>
  <si>
    <t>Make</t>
  </si>
  <si>
    <t>Type</t>
  </si>
  <si>
    <t>Item</t>
  </si>
  <si>
    <t>Canon</t>
  </si>
  <si>
    <t>Nikon</t>
  </si>
  <si>
    <t>Body</t>
  </si>
  <si>
    <t>Lens</t>
  </si>
  <si>
    <t>Quantity</t>
  </si>
  <si>
    <t>Value</t>
  </si>
  <si>
    <t>Unit Price</t>
  </si>
  <si>
    <t>Total:</t>
  </si>
  <si>
    <t>Refrigerator</t>
  </si>
  <si>
    <t>Washing machine</t>
  </si>
  <si>
    <t>Microwave oven</t>
  </si>
  <si>
    <t>Dishwasher</t>
  </si>
  <si>
    <t>Oven</t>
  </si>
  <si>
    <t>Vacuum cleaner</t>
  </si>
  <si>
    <t>Coffee maker</t>
  </si>
  <si>
    <t>Toaster</t>
  </si>
  <si>
    <t>Blender</t>
  </si>
  <si>
    <t>Air conditioner</t>
  </si>
  <si>
    <t>Clothes dryer</t>
  </si>
  <si>
    <t>Water heater</t>
  </si>
  <si>
    <t>Iron</t>
  </si>
  <si>
    <t>Food processor</t>
  </si>
  <si>
    <t>Hair dryer</t>
  </si>
  <si>
    <t>Electric kettle</t>
  </si>
  <si>
    <t>Slow cooker</t>
  </si>
  <si>
    <t>Electric fan</t>
  </si>
  <si>
    <t>Jan</t>
  </si>
  <si>
    <t>Feb</t>
  </si>
  <si>
    <t>Mar</t>
  </si>
  <si>
    <t>Apr</t>
  </si>
  <si>
    <t>May</t>
  </si>
  <si>
    <t>Jun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</si>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</sst>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맑은 고딕"/>
      <family val="2"/>
      <charset val="129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double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4" fillId="0" borderId="0">
      <alignment vertical="center"/>
    </xf>
    <xf numFmtId="0" fontId="6" fillId="0" borderId="0">
      <alignment vertical="center"/>
    </xf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9" fontId="1" fillId="2" borderId="2" xfId="0" applyNumberFormat="1" applyFont="1" applyFill="1" applyBorder="1" applyAlignment="1">
      <alignment vertical="center"/>
    </xf>
    <xf numFmtId="9" fontId="1" fillId="2" borderId="7" xfId="0" applyNumberFormat="1" applyFont="1" applyFill="1" applyBorder="1" applyAlignment="1">
      <alignment vertical="center"/>
    </xf>
    <xf numFmtId="0" fontId="0" fillId="3" borderId="0" xfId="0" applyFill="1"/>
    <xf numFmtId="44" fontId="0" fillId="3" borderId="0" xfId="1" applyFont="1" applyFill="1"/>
    <xf numFmtId="0" fontId="0" fillId="3" borderId="8" xfId="0" applyFill="1" applyBorder="1"/>
    <xf numFmtId="0" fontId="0" fillId="3" borderId="1" xfId="0" applyFill="1" applyBorder="1"/>
    <xf numFmtId="44" fontId="0" fillId="3" borderId="1" xfId="1" applyFont="1" applyFill="1" applyBorder="1"/>
    <xf numFmtId="0" fontId="0" fillId="3" borderId="10" xfId="0" applyFill="1" applyBorder="1"/>
    <xf numFmtId="164" fontId="3" fillId="2" borderId="6" xfId="0" applyNumberFormat="1" applyFont="1" applyFill="1" applyBorder="1"/>
    <xf numFmtId="164" fontId="3" fillId="2" borderId="9" xfId="0" applyNumberFormat="1" applyFont="1" applyFill="1" applyBorder="1"/>
    <xf numFmtId="0" fontId="0" fillId="0" borderId="0" xfId="0" applyAlignment="1">
      <alignment vertical="center"/>
    </xf>
    <xf numFmtId="0" fontId="6" fillId="0" borderId="0" xfId="3">
      <alignment vertical="center"/>
    </xf>
    <xf numFmtId="0" fontId="7" fillId="4" borderId="11" xfId="3" applyFont="1" applyFill="1" applyBorder="1">
      <alignment vertical="center"/>
    </xf>
    <xf numFmtId="0" fontId="7" fillId="4" borderId="12" xfId="3" applyFont="1" applyFill="1" applyBorder="1">
      <alignment vertical="center"/>
    </xf>
    <xf numFmtId="0" fontId="7" fillId="4" borderId="12" xfId="3" applyFont="1" applyFill="1" applyBorder="1" applyAlignment="1">
      <alignment horizontal="right" vertical="center"/>
    </xf>
    <xf numFmtId="0" fontId="7" fillId="4" borderId="13" xfId="3" applyFont="1" applyFill="1" applyBorder="1" applyAlignment="1">
      <alignment horizontal="right" vertical="center"/>
    </xf>
    <xf numFmtId="0" fontId="6" fillId="0" borderId="14" xfId="3" applyBorder="1">
      <alignment vertical="center"/>
    </xf>
    <xf numFmtId="0" fontId="6" fillId="0" borderId="15" xfId="3" applyBorder="1">
      <alignment vertical="center"/>
    </xf>
    <xf numFmtId="0" fontId="6" fillId="0" borderId="17" xfId="3" applyBorder="1">
      <alignment vertical="center"/>
    </xf>
    <xf numFmtId="0" fontId="6" fillId="0" borderId="18" xfId="3" applyBorder="1">
      <alignment vertical="center"/>
    </xf>
    <xf numFmtId="0" fontId="7" fillId="5" borderId="20" xfId="3" applyFont="1" applyFill="1" applyBorder="1">
      <alignment vertical="center"/>
    </xf>
    <xf numFmtId="0" fontId="7" fillId="5" borderId="19" xfId="3" applyFont="1" applyFill="1" applyBorder="1" applyAlignment="1">
      <alignment horizontal="right" vertical="center"/>
    </xf>
    <xf numFmtId="0" fontId="6" fillId="0" borderId="22" xfId="3" applyBorder="1">
      <alignment vertical="center"/>
    </xf>
    <xf numFmtId="0" fontId="6" fillId="0" borderId="21" xfId="3" quotePrefix="1" applyBorder="1" applyAlignment="1">
      <alignment horizontal="right" vertical="center"/>
    </xf>
    <xf numFmtId="0" fontId="6" fillId="0" borderId="24" xfId="3" applyBorder="1">
      <alignment vertical="center"/>
    </xf>
    <xf numFmtId="0" fontId="6" fillId="0" borderId="23" xfId="3" quotePrefix="1" applyBorder="1" applyAlignment="1">
      <alignment horizontal="right" vertical="center"/>
    </xf>
    <xf numFmtId="44" fontId="6" fillId="0" borderId="15" xfId="3" applyNumberFormat="1" applyBorder="1">
      <alignment vertical="center"/>
    </xf>
    <xf numFmtId="44" fontId="6" fillId="0" borderId="18" xfId="3" applyNumberFormat="1" applyBorder="1">
      <alignment vertical="center"/>
    </xf>
    <xf numFmtId="44" fontId="6" fillId="0" borderId="16" xfId="1" applyFont="1" applyBorder="1" applyAlignment="1">
      <alignment vertical="center"/>
    </xf>
    <xf numFmtId="44" fontId="6" fillId="0" borderId="0" xfId="3" applyNumberFormat="1">
      <alignment vertical="center"/>
    </xf>
    <xf numFmtId="44" fontId="6" fillId="0" borderId="0" xfId="3" applyNumberFormat="1" applyAlignment="1">
      <alignment horizontal="center" vertical="center"/>
    </xf>
    <xf numFmtId="44" fontId="5" fillId="0" borderId="1" xfId="3" applyNumberFormat="1" applyFont="1" applyBorder="1">
      <alignment vertical="center"/>
    </xf>
    <xf numFmtId="44" fontId="6" fillId="0" borderId="1" xfId="3" applyNumberFormat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5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6" fillId="0" borderId="0" xfId="3" applyBorder="1">
      <alignment vertical="center"/>
    </xf>
  </cellXfs>
  <cellStyles count="4">
    <cellStyle name="Currency" xfId="1" builtinId="4"/>
    <cellStyle name="Normal" xfId="0" builtinId="0"/>
    <cellStyle name="Normal 2" xfId="2" xr:uid="{B6B38813-23F3-4057-B611-216087CBF1B8}"/>
    <cellStyle name="Normal 3" xfId="3" xr:uid="{31D34E86-794F-41D1-AAC4-3E7C1A3A32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9DB5-7C33-49FD-977D-FC77BC6C4ED1}">
  <dimension ref="B2:M23"/>
  <sheetViews>
    <sheetView tabSelected="1" zoomScaleNormal="100" workbookViewId="0">
      <selection activeCell="G7" sqref="G7"/>
    </sheetView>
  </sheetViews>
  <sheetFormatPr defaultRowHeight="14.4"/>
  <cols>
    <col min="1" max="1" width="4.77734375" style="5" customWidth="1"/>
    <col min="2" max="2" width="17.77734375" style="5" customWidth="1"/>
    <col min="3" max="7" width="12.77734375" style="5" customWidth="1"/>
    <col min="8" max="8" width="8.88671875" style="5"/>
    <col min="9" max="13" width="12.77734375" style="5" customWidth="1"/>
    <col min="14" max="16384" width="8.88671875" style="5"/>
  </cols>
  <sheetData>
    <row r="2" spans="2:13" ht="15.6">
      <c r="B2" s="40" t="s">
        <v>0</v>
      </c>
      <c r="C2" s="40" t="s">
        <v>21</v>
      </c>
      <c r="D2" s="40" t="s">
        <v>22</v>
      </c>
      <c r="E2" s="40" t="s">
        <v>23</v>
      </c>
      <c r="F2" s="40" t="s">
        <v>24</v>
      </c>
      <c r="G2" s="1" t="s">
        <v>25</v>
      </c>
      <c r="I2" s="36" t="s">
        <v>27</v>
      </c>
      <c r="J2" s="38" t="s">
        <v>26</v>
      </c>
      <c r="K2" s="38"/>
      <c r="L2" s="38"/>
      <c r="M2" s="39"/>
    </row>
    <row r="3" spans="2:13" ht="15.6">
      <c r="B3" s="41"/>
      <c r="C3" s="41"/>
      <c r="D3" s="41"/>
      <c r="E3" s="41"/>
      <c r="F3" s="41"/>
      <c r="G3" s="2">
        <v>0.1</v>
      </c>
      <c r="I3" s="37"/>
      <c r="J3" s="3">
        <v>0.03</v>
      </c>
      <c r="K3" s="3">
        <v>0.05</v>
      </c>
      <c r="L3" s="3">
        <v>7.0000000000000007E-2</v>
      </c>
      <c r="M3" s="4">
        <v>0.1</v>
      </c>
    </row>
    <row r="4" spans="2:13" ht="18" customHeight="1">
      <c r="B4" s="5" t="s">
        <v>20</v>
      </c>
      <c r="C4" s="6">
        <v>9021</v>
      </c>
      <c r="D4" s="6">
        <v>3806</v>
      </c>
      <c r="E4" s="6">
        <v>4400</v>
      </c>
      <c r="I4" s="11">
        <v>1000</v>
      </c>
      <c r="M4" s="7"/>
    </row>
    <row r="5" spans="2:13" ht="18" customHeight="1">
      <c r="B5" s="5" t="s">
        <v>19</v>
      </c>
      <c r="C5" s="6">
        <v>5388</v>
      </c>
      <c r="D5" s="6">
        <v>1781</v>
      </c>
      <c r="E5" s="6">
        <v>3669</v>
      </c>
      <c r="I5" s="11">
        <v>3000</v>
      </c>
      <c r="M5" s="7"/>
    </row>
    <row r="6" spans="2:13" ht="18" customHeight="1">
      <c r="B6" s="5" t="s">
        <v>18</v>
      </c>
      <c r="C6" s="6">
        <v>2450</v>
      </c>
      <c r="D6" s="6">
        <v>8018</v>
      </c>
      <c r="E6" s="6">
        <v>1101</v>
      </c>
      <c r="I6" s="11">
        <v>5000</v>
      </c>
      <c r="M6" s="7"/>
    </row>
    <row r="7" spans="2:13" ht="18" customHeight="1">
      <c r="B7" s="5" t="s">
        <v>17</v>
      </c>
      <c r="C7" s="6">
        <v>5698</v>
      </c>
      <c r="D7" s="6">
        <v>7842</v>
      </c>
      <c r="E7" s="6">
        <v>9061</v>
      </c>
      <c r="I7" s="11">
        <v>7000</v>
      </c>
      <c r="M7" s="7"/>
    </row>
    <row r="8" spans="2:13" ht="18" customHeight="1">
      <c r="B8" s="5" t="s">
        <v>16</v>
      </c>
      <c r="C8" s="6">
        <v>2627</v>
      </c>
      <c r="D8" s="6">
        <v>1023</v>
      </c>
      <c r="E8" s="6">
        <v>2632</v>
      </c>
      <c r="I8" s="11">
        <v>9000</v>
      </c>
      <c r="M8" s="7"/>
    </row>
    <row r="9" spans="2:13" ht="18" customHeight="1">
      <c r="B9" s="5" t="s">
        <v>15</v>
      </c>
      <c r="C9" s="6">
        <v>8318</v>
      </c>
      <c r="D9" s="6">
        <v>7465</v>
      </c>
      <c r="E9" s="6">
        <v>9074</v>
      </c>
      <c r="I9" s="11">
        <v>11000</v>
      </c>
      <c r="M9" s="7"/>
    </row>
    <row r="10" spans="2:13" ht="18" customHeight="1">
      <c r="B10" s="5" t="s">
        <v>14</v>
      </c>
      <c r="C10" s="6">
        <v>9088</v>
      </c>
      <c r="D10" s="6">
        <v>4358</v>
      </c>
      <c r="E10" s="6">
        <v>9315</v>
      </c>
      <c r="I10" s="11">
        <v>13000</v>
      </c>
      <c r="M10" s="7"/>
    </row>
    <row r="11" spans="2:13" ht="18" customHeight="1">
      <c r="B11" s="5" t="s">
        <v>13</v>
      </c>
      <c r="C11" s="6">
        <v>2873</v>
      </c>
      <c r="D11" s="6">
        <v>4013</v>
      </c>
      <c r="E11" s="6">
        <v>7939</v>
      </c>
      <c r="I11" s="11">
        <v>15000</v>
      </c>
      <c r="M11" s="7"/>
    </row>
    <row r="12" spans="2:13" ht="18" customHeight="1">
      <c r="B12" s="5" t="s">
        <v>12</v>
      </c>
      <c r="C12" s="6">
        <v>9401</v>
      </c>
      <c r="D12" s="6">
        <v>6013</v>
      </c>
      <c r="E12" s="6">
        <v>9619</v>
      </c>
      <c r="I12" s="11">
        <v>17000</v>
      </c>
      <c r="M12" s="7"/>
    </row>
    <row r="13" spans="2:13" ht="18" customHeight="1">
      <c r="B13" s="5" t="s">
        <v>11</v>
      </c>
      <c r="C13" s="6">
        <v>7458</v>
      </c>
      <c r="D13" s="6">
        <v>4309</v>
      </c>
      <c r="E13" s="6">
        <v>2572</v>
      </c>
      <c r="I13" s="11">
        <v>19000</v>
      </c>
      <c r="M13" s="7"/>
    </row>
    <row r="14" spans="2:13" ht="18" customHeight="1">
      <c r="B14" s="5" t="s">
        <v>10</v>
      </c>
      <c r="C14" s="6">
        <v>6892</v>
      </c>
      <c r="D14" s="6">
        <v>2342</v>
      </c>
      <c r="E14" s="6">
        <v>1687</v>
      </c>
      <c r="I14" s="11">
        <v>21000</v>
      </c>
      <c r="M14" s="7"/>
    </row>
    <row r="15" spans="2:13" ht="18" customHeight="1">
      <c r="B15" s="5" t="s">
        <v>9</v>
      </c>
      <c r="C15" s="6">
        <v>7291</v>
      </c>
      <c r="D15" s="6">
        <v>9238</v>
      </c>
      <c r="E15" s="6">
        <v>5338</v>
      </c>
      <c r="I15" s="11">
        <v>23000</v>
      </c>
      <c r="M15" s="7"/>
    </row>
    <row r="16" spans="2:13" ht="18" customHeight="1">
      <c r="B16" s="5" t="s">
        <v>8</v>
      </c>
      <c r="C16" s="6">
        <v>7680</v>
      </c>
      <c r="D16" s="6">
        <v>6929</v>
      </c>
      <c r="E16" s="6">
        <v>3676</v>
      </c>
      <c r="I16" s="11">
        <v>25000</v>
      </c>
      <c r="M16" s="7"/>
    </row>
    <row r="17" spans="2:13" ht="18" customHeight="1">
      <c r="B17" s="5" t="s">
        <v>7</v>
      </c>
      <c r="C17" s="6">
        <v>6732</v>
      </c>
      <c r="D17" s="6">
        <v>8050</v>
      </c>
      <c r="E17" s="6">
        <v>4928</v>
      </c>
      <c r="I17" s="11">
        <v>27000</v>
      </c>
      <c r="M17" s="7"/>
    </row>
    <row r="18" spans="2:13" ht="18" customHeight="1">
      <c r="B18" s="5" t="s">
        <v>6</v>
      </c>
      <c r="C18" s="6">
        <v>5625</v>
      </c>
      <c r="D18" s="6">
        <v>2019</v>
      </c>
      <c r="E18" s="6">
        <v>4003</v>
      </c>
      <c r="I18" s="11">
        <v>29000</v>
      </c>
      <c r="M18" s="7"/>
    </row>
    <row r="19" spans="2:13" ht="18" customHeight="1">
      <c r="B19" s="5" t="s">
        <v>5</v>
      </c>
      <c r="C19" s="6">
        <v>6713</v>
      </c>
      <c r="D19" s="6">
        <v>9498</v>
      </c>
      <c r="E19" s="6">
        <v>5712</v>
      </c>
      <c r="I19" s="11">
        <v>31000</v>
      </c>
      <c r="M19" s="7"/>
    </row>
    <row r="20" spans="2:13" ht="18" customHeight="1">
      <c r="B20" s="5" t="s">
        <v>4</v>
      </c>
      <c r="C20" s="6">
        <v>3094</v>
      </c>
      <c r="D20" s="6">
        <v>3435</v>
      </c>
      <c r="E20" s="6">
        <v>8366</v>
      </c>
      <c r="I20" s="11">
        <v>33000</v>
      </c>
      <c r="M20" s="7"/>
    </row>
    <row r="21" spans="2:13" ht="18" customHeight="1">
      <c r="B21" s="5" t="s">
        <v>3</v>
      </c>
      <c r="C21" s="6">
        <v>1313</v>
      </c>
      <c r="D21" s="6">
        <v>4543</v>
      </c>
      <c r="E21" s="6">
        <v>9277</v>
      </c>
      <c r="I21" s="11">
        <v>35000</v>
      </c>
      <c r="M21" s="7"/>
    </row>
    <row r="22" spans="2:13" ht="18" customHeight="1">
      <c r="B22" s="5" t="s">
        <v>2</v>
      </c>
      <c r="C22" s="6">
        <v>1397</v>
      </c>
      <c r="D22" s="6">
        <v>3584</v>
      </c>
      <c r="E22" s="6">
        <v>3396</v>
      </c>
      <c r="I22" s="11">
        <v>37000</v>
      </c>
      <c r="M22" s="7"/>
    </row>
    <row r="23" spans="2:13" ht="18" customHeight="1">
      <c r="B23" s="8" t="s">
        <v>1</v>
      </c>
      <c r="C23" s="9">
        <v>6208</v>
      </c>
      <c r="D23" s="9">
        <v>8734</v>
      </c>
      <c r="E23" s="9">
        <v>8640</v>
      </c>
      <c r="F23" s="8"/>
      <c r="G23" s="8"/>
      <c r="I23" s="12">
        <v>39000</v>
      </c>
      <c r="J23" s="8"/>
      <c r="K23" s="8"/>
      <c r="L23" s="8"/>
      <c r="M23" s="10"/>
    </row>
  </sheetData>
  <mergeCells count="7">
    <mergeCell ref="I2:I3"/>
    <mergeCell ref="J2:M2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622F-BC09-4FF8-AC2A-A1F7F683D891}">
  <dimension ref="B2:D8"/>
  <sheetViews>
    <sheetView zoomScaleNormal="100" workbookViewId="0">
      <selection activeCell="C29" sqref="C29"/>
    </sheetView>
  </sheetViews>
  <sheetFormatPr defaultRowHeight="19.95" customHeight="1"/>
  <cols>
    <col min="1" max="1" width="8.88671875" style="13"/>
    <col min="2" max="2" width="2.77734375" style="13" customWidth="1"/>
    <col min="3" max="3" width="4.5546875" style="13" customWidth="1"/>
    <col min="4" max="4" width="2.77734375" style="13" customWidth="1"/>
    <col min="5" max="16384" width="8.88671875" style="13"/>
  </cols>
  <sheetData>
    <row r="2" spans="2:4" ht="19.95" customHeight="1">
      <c r="C2" s="13">
        <v>55555555555</v>
      </c>
    </row>
    <row r="3" spans="2:4" ht="19.95" customHeight="1">
      <c r="B3" s="43">
        <v>5.5555555555555501E+24</v>
      </c>
      <c r="C3" s="42"/>
      <c r="D3" s="42"/>
    </row>
    <row r="4" spans="2:4" ht="19.95" customHeight="1">
      <c r="B4" s="42" t="e" cm="1">
        <f t="array" ref="B4">A1+A0</f>
        <v>#NAME?</v>
      </c>
      <c r="C4" s="42"/>
      <c r="D4" s="42"/>
    </row>
    <row r="5" spans="2:4" ht="19.95" customHeight="1">
      <c r="B5" s="42" t="e" cm="1">
        <f t="array" ref="B5">VLOOKUP("Target",A1:A5,B1:B5,TRUE)</f>
        <v>#N/A</v>
      </c>
      <c r="C5" s="42"/>
      <c r="D5" s="42"/>
    </row>
    <row r="6" spans="2:4" ht="19.95" customHeight="1">
      <c r="B6" s="42" t="e" cm="1">
        <f t="array" ref="B6">555+Excel</f>
        <v>#NAME?</v>
      </c>
      <c r="C6" s="42"/>
      <c r="D6" s="42"/>
    </row>
    <row r="7" spans="2:4" ht="19.95" customHeight="1">
      <c r="B7" s="42" t="e">
        <f>A2+#REF!</f>
        <v>#REF!</v>
      </c>
      <c r="C7" s="42"/>
      <c r="D7" s="42"/>
    </row>
    <row r="8" spans="2:4" ht="19.95" customHeight="1">
      <c r="B8" s="42" t="e">
        <f>555/0</f>
        <v>#DIV/0!</v>
      </c>
      <c r="C8" s="42"/>
      <c r="D8" s="42"/>
    </row>
  </sheetData>
  <mergeCells count="6">
    <mergeCell ref="B5:D5"/>
    <mergeCell ref="B6:D6"/>
    <mergeCell ref="B7:D7"/>
    <mergeCell ref="B8:D8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A2AE-E28F-4E58-BD29-583C1E00DD06}">
  <dimension ref="B2:G18"/>
  <sheetViews>
    <sheetView zoomScaleNormal="100" workbookViewId="0">
      <selection activeCell="D21" sqref="D21"/>
    </sheetView>
  </sheetViews>
  <sheetFormatPr defaultRowHeight="14.4"/>
  <cols>
    <col min="1" max="1" width="3.6640625" style="14" customWidth="1"/>
    <col min="2" max="3" width="8.88671875" style="14"/>
    <col min="4" max="4" width="38.88671875" style="14" customWidth="1"/>
    <col min="5" max="5" width="9.77734375" style="14" customWidth="1"/>
    <col min="6" max="6" width="13.109375" style="14" customWidth="1"/>
    <col min="7" max="7" width="13.77734375" style="14" customWidth="1"/>
    <col min="8" max="16384" width="8.88671875" style="14"/>
  </cols>
  <sheetData>
    <row r="2" spans="2:7">
      <c r="B2" s="15" t="s">
        <v>85</v>
      </c>
      <c r="C2" s="16" t="s">
        <v>86</v>
      </c>
      <c r="D2" s="16" t="s">
        <v>87</v>
      </c>
      <c r="E2" s="17" t="s">
        <v>92</v>
      </c>
      <c r="F2" s="17" t="s">
        <v>94</v>
      </c>
      <c r="G2" s="18" t="s">
        <v>93</v>
      </c>
    </row>
    <row r="3" spans="2:7">
      <c r="B3" s="19" t="s">
        <v>88</v>
      </c>
      <c r="C3" s="20" t="s">
        <v>90</v>
      </c>
      <c r="D3" s="20" t="s">
        <v>28</v>
      </c>
      <c r="E3" s="20">
        <v>8</v>
      </c>
      <c r="F3" s="29">
        <v>316.66666666666669</v>
      </c>
      <c r="G3" s="31">
        <v>2533.3333333333335</v>
      </c>
    </row>
    <row r="4" spans="2:7">
      <c r="B4" s="19" t="s">
        <v>88</v>
      </c>
      <c r="C4" s="20" t="s">
        <v>90</v>
      </c>
      <c r="D4" s="20" t="s">
        <v>29</v>
      </c>
      <c r="E4" s="20">
        <v>10</v>
      </c>
      <c r="F4" s="29">
        <v>541.66666666666663</v>
      </c>
      <c r="G4" s="31">
        <v>5416.6666666666661</v>
      </c>
    </row>
    <row r="5" spans="2:7">
      <c r="B5" s="19" t="s">
        <v>88</v>
      </c>
      <c r="C5" s="20" t="s">
        <v>90</v>
      </c>
      <c r="D5" s="20" t="s">
        <v>30</v>
      </c>
      <c r="E5" s="20">
        <v>13</v>
      </c>
      <c r="F5" s="29">
        <v>1100</v>
      </c>
      <c r="G5" s="31">
        <v>14300</v>
      </c>
    </row>
    <row r="6" spans="2:7">
      <c r="B6" s="19" t="s">
        <v>88</v>
      </c>
      <c r="C6" s="20" t="s">
        <v>90</v>
      </c>
      <c r="D6" s="20" t="s">
        <v>31</v>
      </c>
      <c r="E6" s="20">
        <v>15</v>
      </c>
      <c r="F6" s="29">
        <v>558.33333333333337</v>
      </c>
      <c r="G6" s="31">
        <v>8375</v>
      </c>
    </row>
    <row r="7" spans="2:7">
      <c r="B7" s="19" t="s">
        <v>88</v>
      </c>
      <c r="C7" s="20" t="s">
        <v>91</v>
      </c>
      <c r="D7" s="20" t="s">
        <v>32</v>
      </c>
      <c r="E7" s="20">
        <v>14</v>
      </c>
      <c r="F7" s="29">
        <v>440.83333333333331</v>
      </c>
      <c r="G7" s="31">
        <v>6171.6666666666661</v>
      </c>
    </row>
    <row r="8" spans="2:7">
      <c r="B8" s="19" t="s">
        <v>88</v>
      </c>
      <c r="C8" s="20" t="s">
        <v>91</v>
      </c>
      <c r="D8" s="20" t="s">
        <v>33</v>
      </c>
      <c r="E8" s="20">
        <v>8</v>
      </c>
      <c r="F8" s="29">
        <v>1525</v>
      </c>
      <c r="G8" s="31">
        <v>12200</v>
      </c>
    </row>
    <row r="9" spans="2:7">
      <c r="B9" s="19" t="s">
        <v>88</v>
      </c>
      <c r="C9" s="20" t="s">
        <v>91</v>
      </c>
      <c r="D9" s="20" t="s">
        <v>34</v>
      </c>
      <c r="E9" s="20">
        <v>9</v>
      </c>
      <c r="F9" s="29">
        <v>908.33333333333337</v>
      </c>
      <c r="G9" s="31">
        <v>8175</v>
      </c>
    </row>
    <row r="10" spans="2:7">
      <c r="B10" s="19" t="s">
        <v>89</v>
      </c>
      <c r="C10" s="20" t="s">
        <v>90</v>
      </c>
      <c r="D10" s="20" t="s">
        <v>35</v>
      </c>
      <c r="E10" s="20">
        <v>14</v>
      </c>
      <c r="F10" s="29">
        <v>4800</v>
      </c>
      <c r="G10" s="31">
        <v>67200</v>
      </c>
    </row>
    <row r="11" spans="2:7">
      <c r="B11" s="19" t="s">
        <v>89</v>
      </c>
      <c r="C11" s="20" t="s">
        <v>90</v>
      </c>
      <c r="D11" s="20" t="s">
        <v>36</v>
      </c>
      <c r="E11" s="20">
        <v>14</v>
      </c>
      <c r="F11" s="29">
        <v>675</v>
      </c>
      <c r="G11" s="31">
        <v>9450</v>
      </c>
    </row>
    <row r="12" spans="2:7">
      <c r="B12" s="19" t="s">
        <v>89</v>
      </c>
      <c r="C12" s="20" t="s">
        <v>91</v>
      </c>
      <c r="D12" s="20" t="s">
        <v>37</v>
      </c>
      <c r="E12" s="20">
        <v>9</v>
      </c>
      <c r="F12" s="29">
        <v>1491.6666666666667</v>
      </c>
      <c r="G12" s="31">
        <v>13425</v>
      </c>
    </row>
    <row r="13" spans="2:7">
      <c r="B13" s="19" t="s">
        <v>89</v>
      </c>
      <c r="C13" s="20" t="s">
        <v>91</v>
      </c>
      <c r="D13" s="20" t="s">
        <v>38</v>
      </c>
      <c r="E13" s="20">
        <v>12</v>
      </c>
      <c r="F13" s="29">
        <v>1166.6666666666667</v>
      </c>
      <c r="G13" s="31">
        <v>14000</v>
      </c>
    </row>
    <row r="14" spans="2:7">
      <c r="B14" s="19" t="s">
        <v>89</v>
      </c>
      <c r="C14" s="20" t="s">
        <v>91</v>
      </c>
      <c r="D14" s="20" t="s">
        <v>39</v>
      </c>
      <c r="E14" s="20">
        <v>15</v>
      </c>
      <c r="F14" s="29">
        <v>1000</v>
      </c>
      <c r="G14" s="31">
        <v>15000</v>
      </c>
    </row>
    <row r="15" spans="2:7">
      <c r="B15" s="21" t="s">
        <v>89</v>
      </c>
      <c r="C15" s="22" t="s">
        <v>91</v>
      </c>
      <c r="D15" s="22" t="s">
        <v>40</v>
      </c>
      <c r="E15" s="22">
        <v>13</v>
      </c>
      <c r="F15" s="30">
        <v>600</v>
      </c>
      <c r="G15" s="30">
        <v>7800</v>
      </c>
    </row>
    <row r="16" spans="2:7">
      <c r="F16" s="32"/>
      <c r="G16" s="33"/>
    </row>
    <row r="17" spans="6:7">
      <c r="F17" s="34" t="s">
        <v>95</v>
      </c>
      <c r="G17" s="35">
        <f>SUM(G3:G14)</f>
        <v>176246.66666666666</v>
      </c>
    </row>
    <row r="18" spans="6:7">
      <c r="F18" s="3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D3F0-D2ED-481B-A54E-7901FB8C7584}">
  <dimension ref="B2:I20"/>
  <sheetViews>
    <sheetView zoomScaleNormal="100" workbookViewId="0">
      <selection activeCell="D3" sqref="D3"/>
    </sheetView>
  </sheetViews>
  <sheetFormatPr defaultRowHeight="14.4"/>
  <cols>
    <col min="1" max="1" width="4" style="14" customWidth="1"/>
    <col min="2" max="2" width="20.109375" style="14" customWidth="1"/>
    <col min="3" max="16384" width="8.88671875" style="14"/>
  </cols>
  <sheetData>
    <row r="2" spans="2:9" ht="28.8" customHeight="1" thickBot="1">
      <c r="B2" s="23" t="s">
        <v>87</v>
      </c>
      <c r="C2" s="24" t="s">
        <v>114</v>
      </c>
      <c r="D2" s="24" t="s">
        <v>115</v>
      </c>
      <c r="E2" s="24" t="s">
        <v>116</v>
      </c>
      <c r="F2" s="24" t="s">
        <v>117</v>
      </c>
      <c r="G2" s="24" t="s">
        <v>118</v>
      </c>
      <c r="H2" s="24" t="s">
        <v>119</v>
      </c>
      <c r="I2" s="24" t="s">
        <v>120</v>
      </c>
    </row>
    <row r="3" spans="2:9">
      <c r="B3" s="25" t="s">
        <v>96</v>
      </c>
      <c r="C3" s="26" t="s">
        <v>41</v>
      </c>
      <c r="D3" s="26" t="s">
        <v>42</v>
      </c>
      <c r="E3" s="26" t="s">
        <v>43</v>
      </c>
      <c r="F3" s="26" t="s">
        <v>44</v>
      </c>
      <c r="G3" s="26" t="s">
        <v>45</v>
      </c>
      <c r="H3" s="26" t="s">
        <v>46</v>
      </c>
      <c r="I3" s="26">
        <f t="shared" ref="I3:I20" si="0">SUM(C3:H3)</f>
        <v>0</v>
      </c>
    </row>
    <row r="4" spans="2:9">
      <c r="B4" s="27" t="s">
        <v>97</v>
      </c>
      <c r="C4" s="28" t="s">
        <v>48</v>
      </c>
      <c r="D4" s="28" t="s">
        <v>49</v>
      </c>
      <c r="E4" s="28" t="s">
        <v>50</v>
      </c>
      <c r="F4" s="28" t="s">
        <v>51</v>
      </c>
      <c r="G4" s="28" t="s">
        <v>48</v>
      </c>
      <c r="H4" s="28" t="s">
        <v>52</v>
      </c>
      <c r="I4" s="28">
        <f t="shared" si="0"/>
        <v>0</v>
      </c>
    </row>
    <row r="5" spans="2:9">
      <c r="B5" s="27" t="s">
        <v>98</v>
      </c>
      <c r="C5" s="28" t="s">
        <v>53</v>
      </c>
      <c r="D5" s="28" t="s">
        <v>54</v>
      </c>
      <c r="E5" s="28" t="s">
        <v>55</v>
      </c>
      <c r="F5" s="28" t="s">
        <v>51</v>
      </c>
      <c r="G5" s="28" t="s">
        <v>56</v>
      </c>
      <c r="H5" s="28" t="s">
        <v>57</v>
      </c>
      <c r="I5" s="28">
        <f t="shared" si="0"/>
        <v>0</v>
      </c>
    </row>
    <row r="6" spans="2:9">
      <c r="B6" s="27" t="s">
        <v>99</v>
      </c>
      <c r="C6" s="28" t="s">
        <v>58</v>
      </c>
      <c r="D6" s="28" t="s">
        <v>59</v>
      </c>
      <c r="E6" s="28" t="s">
        <v>44</v>
      </c>
      <c r="F6" s="28" t="s">
        <v>60</v>
      </c>
      <c r="G6" s="28" t="s">
        <v>61</v>
      </c>
      <c r="H6" s="28" t="s">
        <v>62</v>
      </c>
      <c r="I6" s="28">
        <f t="shared" si="0"/>
        <v>0</v>
      </c>
    </row>
    <row r="7" spans="2:9">
      <c r="B7" s="27" t="s">
        <v>100</v>
      </c>
      <c r="C7" s="28" t="s">
        <v>63</v>
      </c>
      <c r="D7" s="28" t="s">
        <v>60</v>
      </c>
      <c r="E7" s="28" t="s">
        <v>64</v>
      </c>
      <c r="F7" s="28" t="s">
        <v>65</v>
      </c>
      <c r="G7" s="28" t="s">
        <v>66</v>
      </c>
      <c r="H7" s="28" t="s">
        <v>67</v>
      </c>
      <c r="I7" s="28">
        <f t="shared" si="0"/>
        <v>0</v>
      </c>
    </row>
    <row r="8" spans="2:9">
      <c r="B8" s="27" t="s">
        <v>101</v>
      </c>
      <c r="C8" s="28" t="s">
        <v>60</v>
      </c>
      <c r="D8" s="28" t="s">
        <v>64</v>
      </c>
      <c r="E8" s="28" t="s">
        <v>68</v>
      </c>
      <c r="F8" s="28" t="s">
        <v>58</v>
      </c>
      <c r="G8" s="28" t="s">
        <v>48</v>
      </c>
      <c r="H8" s="28" t="s">
        <v>44</v>
      </c>
      <c r="I8" s="28">
        <f t="shared" si="0"/>
        <v>0</v>
      </c>
    </row>
    <row r="9" spans="2:9">
      <c r="B9" s="27" t="s">
        <v>102</v>
      </c>
      <c r="C9" s="28" t="s">
        <v>60</v>
      </c>
      <c r="D9" s="28" t="s">
        <v>69</v>
      </c>
      <c r="E9" s="28" t="s">
        <v>67</v>
      </c>
      <c r="F9" s="28" t="s">
        <v>70</v>
      </c>
      <c r="G9" s="28" t="s">
        <v>65</v>
      </c>
      <c r="H9" s="28" t="s">
        <v>45</v>
      </c>
      <c r="I9" s="28">
        <f t="shared" si="0"/>
        <v>0</v>
      </c>
    </row>
    <row r="10" spans="2:9">
      <c r="B10" s="27" t="s">
        <v>103</v>
      </c>
      <c r="C10" s="28" t="s">
        <v>69</v>
      </c>
      <c r="D10" s="28" t="s">
        <v>52</v>
      </c>
      <c r="E10" s="28" t="s">
        <v>68</v>
      </c>
      <c r="F10" s="28" t="s">
        <v>57</v>
      </c>
      <c r="G10" s="28" t="s">
        <v>46</v>
      </c>
      <c r="H10" s="28" t="s">
        <v>71</v>
      </c>
      <c r="I10" s="28">
        <f t="shared" si="0"/>
        <v>0</v>
      </c>
    </row>
    <row r="11" spans="2:9">
      <c r="B11" s="27" t="s">
        <v>104</v>
      </c>
      <c r="C11" s="28" t="s">
        <v>42</v>
      </c>
      <c r="D11" s="28" t="s">
        <v>71</v>
      </c>
      <c r="E11" s="28" t="s">
        <v>72</v>
      </c>
      <c r="F11" s="28" t="s">
        <v>73</v>
      </c>
      <c r="G11" s="28" t="s">
        <v>73</v>
      </c>
      <c r="H11" s="28" t="s">
        <v>45</v>
      </c>
      <c r="I11" s="28">
        <f t="shared" si="0"/>
        <v>0</v>
      </c>
    </row>
    <row r="12" spans="2:9">
      <c r="B12" s="27" t="s">
        <v>105</v>
      </c>
      <c r="C12" s="28" t="s">
        <v>60</v>
      </c>
      <c r="D12" s="28" t="s">
        <v>69</v>
      </c>
      <c r="E12" s="28" t="s">
        <v>74</v>
      </c>
      <c r="F12" s="28" t="s">
        <v>43</v>
      </c>
      <c r="G12" s="28" t="s">
        <v>75</v>
      </c>
      <c r="H12" s="28" t="s">
        <v>70</v>
      </c>
      <c r="I12" s="28">
        <f t="shared" si="0"/>
        <v>0</v>
      </c>
    </row>
    <row r="13" spans="2:9">
      <c r="B13" s="27" t="s">
        <v>106</v>
      </c>
      <c r="C13" s="28" t="s">
        <v>46</v>
      </c>
      <c r="D13" s="28" t="s">
        <v>76</v>
      </c>
      <c r="E13" s="28" t="s">
        <v>72</v>
      </c>
      <c r="F13" s="28" t="s">
        <v>67</v>
      </c>
      <c r="G13" s="28" t="s">
        <v>70</v>
      </c>
      <c r="H13" s="28" t="s">
        <v>44</v>
      </c>
      <c r="I13" s="28">
        <f t="shared" si="0"/>
        <v>0</v>
      </c>
    </row>
    <row r="14" spans="2:9">
      <c r="B14" s="27" t="s">
        <v>107</v>
      </c>
      <c r="C14" s="28" t="s">
        <v>47</v>
      </c>
      <c r="D14" s="28" t="s">
        <v>77</v>
      </c>
      <c r="E14" s="28" t="s">
        <v>78</v>
      </c>
      <c r="F14" s="28" t="s">
        <v>67</v>
      </c>
      <c r="G14" s="28" t="s">
        <v>75</v>
      </c>
      <c r="H14" s="28" t="s">
        <v>48</v>
      </c>
      <c r="I14" s="28">
        <f t="shared" si="0"/>
        <v>0</v>
      </c>
    </row>
    <row r="15" spans="2:9">
      <c r="B15" s="27" t="s">
        <v>108</v>
      </c>
      <c r="C15" s="28" t="s">
        <v>71</v>
      </c>
      <c r="D15" s="28" t="s">
        <v>79</v>
      </c>
      <c r="E15" s="28" t="s">
        <v>46</v>
      </c>
      <c r="F15" s="28" t="s">
        <v>70</v>
      </c>
      <c r="G15" s="28" t="s">
        <v>80</v>
      </c>
      <c r="H15" s="28" t="s">
        <v>77</v>
      </c>
      <c r="I15" s="28">
        <f t="shared" si="0"/>
        <v>0</v>
      </c>
    </row>
    <row r="16" spans="2:9">
      <c r="B16" s="27" t="s">
        <v>109</v>
      </c>
      <c r="C16" s="28" t="s">
        <v>67</v>
      </c>
      <c r="D16" s="28" t="s">
        <v>49</v>
      </c>
      <c r="E16" s="28" t="s">
        <v>51</v>
      </c>
      <c r="F16" s="28" t="s">
        <v>67</v>
      </c>
      <c r="G16" s="28" t="s">
        <v>60</v>
      </c>
      <c r="H16" s="28" t="s">
        <v>61</v>
      </c>
      <c r="I16" s="28">
        <f t="shared" si="0"/>
        <v>0</v>
      </c>
    </row>
    <row r="17" spans="2:9">
      <c r="B17" s="27" t="s">
        <v>110</v>
      </c>
      <c r="C17" s="28" t="s">
        <v>81</v>
      </c>
      <c r="D17" s="28" t="s">
        <v>82</v>
      </c>
      <c r="E17" s="28" t="s">
        <v>72</v>
      </c>
      <c r="F17" s="28" t="s">
        <v>78</v>
      </c>
      <c r="G17" s="28" t="s">
        <v>73</v>
      </c>
      <c r="H17" s="28" t="s">
        <v>42</v>
      </c>
      <c r="I17" s="28">
        <f t="shared" si="0"/>
        <v>0</v>
      </c>
    </row>
    <row r="18" spans="2:9">
      <c r="B18" s="27" t="s">
        <v>111</v>
      </c>
      <c r="C18" s="28" t="s">
        <v>78</v>
      </c>
      <c r="D18" s="28" t="s">
        <v>41</v>
      </c>
      <c r="E18" s="28" t="s">
        <v>63</v>
      </c>
      <c r="F18" s="28" t="s">
        <v>46</v>
      </c>
      <c r="G18" s="28" t="s">
        <v>83</v>
      </c>
      <c r="H18" s="28" t="s">
        <v>51</v>
      </c>
      <c r="I18" s="28">
        <f t="shared" si="0"/>
        <v>0</v>
      </c>
    </row>
    <row r="19" spans="2:9">
      <c r="B19" s="27" t="s">
        <v>112</v>
      </c>
      <c r="C19" s="28" t="s">
        <v>80</v>
      </c>
      <c r="D19" s="28" t="s">
        <v>42</v>
      </c>
      <c r="E19" s="28" t="s">
        <v>54</v>
      </c>
      <c r="F19" s="28" t="s">
        <v>49</v>
      </c>
      <c r="G19" s="28" t="s">
        <v>81</v>
      </c>
      <c r="H19" s="28" t="s">
        <v>68</v>
      </c>
      <c r="I19" s="28">
        <f t="shared" si="0"/>
        <v>0</v>
      </c>
    </row>
    <row r="20" spans="2:9">
      <c r="B20" s="27" t="s">
        <v>113</v>
      </c>
      <c r="C20" s="28" t="s">
        <v>57</v>
      </c>
      <c r="D20" s="28" t="s">
        <v>65</v>
      </c>
      <c r="E20" s="28" t="s">
        <v>58</v>
      </c>
      <c r="F20" s="28" t="s">
        <v>56</v>
      </c>
      <c r="G20" s="28" t="s">
        <v>84</v>
      </c>
      <c r="H20" s="28" t="s">
        <v>46</v>
      </c>
      <c r="I20" s="28">
        <f t="shared" si="0"/>
        <v>0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78D2-5805-44E6-9747-A93661D87EC8}">
  <dimension ref="B2:I31"/>
  <sheetViews>
    <sheetView zoomScaleNormal="100" workbookViewId="0">
      <selection activeCell="I31" sqref="I31"/>
    </sheetView>
  </sheetViews>
  <sheetFormatPr defaultRowHeight="14.4"/>
  <cols>
    <col min="1" max="1" width="4" style="14" customWidth="1"/>
    <col min="2" max="2" width="20.109375" style="14" customWidth="1"/>
    <col min="3" max="16384" width="8.88671875" style="14"/>
  </cols>
  <sheetData>
    <row r="2" spans="2:9" ht="28.8" customHeight="1" thickBot="1">
      <c r="B2" s="23" t="s">
        <v>87</v>
      </c>
      <c r="C2" s="24" t="s">
        <v>114</v>
      </c>
      <c r="D2" s="24" t="s">
        <v>115</v>
      </c>
      <c r="E2" s="24" t="s">
        <v>116</v>
      </c>
      <c r="F2" s="24" t="s">
        <v>117</v>
      </c>
      <c r="G2" s="24" t="s">
        <v>118</v>
      </c>
      <c r="H2" s="24" t="s">
        <v>119</v>
      </c>
      <c r="I2" s="24" t="s">
        <v>120</v>
      </c>
    </row>
    <row r="3" spans="2:9">
      <c r="B3" s="25" t="s">
        <v>96</v>
      </c>
      <c r="C3" s="26" t="s">
        <v>41</v>
      </c>
      <c r="D3" s="26" t="s">
        <v>42</v>
      </c>
      <c r="E3" s="26" t="s">
        <v>43</v>
      </c>
      <c r="F3" s="26" t="s">
        <v>44</v>
      </c>
      <c r="G3" s="26" t="s">
        <v>45</v>
      </c>
      <c r="H3" s="26" t="s">
        <v>46</v>
      </c>
      <c r="I3" s="26">
        <f t="shared" ref="I3:J21" si="0">SUM(C3:H3)</f>
        <v>0</v>
      </c>
    </row>
    <row r="4" spans="2:9">
      <c r="B4" s="27" t="s">
        <v>97</v>
      </c>
      <c r="C4" s="28">
        <v>93</v>
      </c>
      <c r="D4" s="28" t="s">
        <v>49</v>
      </c>
      <c r="E4" s="28">
        <v>85</v>
      </c>
      <c r="F4" s="28" t="s">
        <v>51</v>
      </c>
      <c r="G4" s="28" t="s">
        <v>48</v>
      </c>
      <c r="H4" s="28" t="s">
        <v>52</v>
      </c>
      <c r="I4" s="28">
        <f t="shared" si="0"/>
        <v>178</v>
      </c>
    </row>
    <row r="5" spans="2:9">
      <c r="B5" s="27" t="s">
        <v>98</v>
      </c>
      <c r="C5" s="28">
        <v>58</v>
      </c>
      <c r="D5" s="28" t="s">
        <v>54</v>
      </c>
      <c r="E5" s="28" t="s">
        <v>55</v>
      </c>
      <c r="F5" s="28" t="s">
        <v>51</v>
      </c>
      <c r="G5" s="28" t="s">
        <v>56</v>
      </c>
      <c r="H5" s="28">
        <v>94</v>
      </c>
      <c r="I5" s="28">
        <f t="shared" si="0"/>
        <v>152</v>
      </c>
    </row>
    <row r="6" spans="2:9">
      <c r="B6" s="27" t="s">
        <v>99</v>
      </c>
      <c r="C6" s="28">
        <v>63</v>
      </c>
      <c r="D6" s="28">
        <v>90</v>
      </c>
      <c r="E6" s="28" t="s">
        <v>44</v>
      </c>
      <c r="F6" s="28" t="s">
        <v>60</v>
      </c>
      <c r="G6" s="28" t="s">
        <v>61</v>
      </c>
      <c r="H6" s="28">
        <v>79</v>
      </c>
      <c r="I6" s="28">
        <f t="shared" si="0"/>
        <v>232</v>
      </c>
    </row>
    <row r="7" spans="2:9">
      <c r="B7" s="27" t="s">
        <v>100</v>
      </c>
      <c r="C7" s="28">
        <v>66</v>
      </c>
      <c r="D7" s="28">
        <v>76</v>
      </c>
      <c r="E7" s="28">
        <v>50</v>
      </c>
      <c r="F7" s="28">
        <v>88</v>
      </c>
      <c r="G7" s="28">
        <v>86</v>
      </c>
      <c r="H7" s="28" t="s">
        <v>67</v>
      </c>
      <c r="I7" s="28">
        <f t="shared" si="0"/>
        <v>366</v>
      </c>
    </row>
    <row r="8" spans="2:9">
      <c r="B8" s="27" t="s">
        <v>101</v>
      </c>
      <c r="C8" s="28" t="s">
        <v>60</v>
      </c>
      <c r="D8" s="28" t="s">
        <v>64</v>
      </c>
      <c r="E8" s="28" t="s">
        <v>68</v>
      </c>
      <c r="F8" s="28">
        <v>63</v>
      </c>
      <c r="G8" s="28" t="s">
        <v>48</v>
      </c>
      <c r="H8" s="28" t="s">
        <v>44</v>
      </c>
      <c r="I8" s="28">
        <f t="shared" si="0"/>
        <v>63</v>
      </c>
    </row>
    <row r="9" spans="2:9">
      <c r="B9" s="27" t="s">
        <v>102</v>
      </c>
      <c r="C9" s="28" t="s">
        <v>60</v>
      </c>
      <c r="D9" s="28">
        <v>51</v>
      </c>
      <c r="E9" s="28" t="s">
        <v>67</v>
      </c>
      <c r="F9" s="28">
        <v>83</v>
      </c>
      <c r="G9" s="28" t="s">
        <v>65</v>
      </c>
      <c r="H9" s="28" t="s">
        <v>45</v>
      </c>
      <c r="I9" s="28">
        <f t="shared" si="0"/>
        <v>134</v>
      </c>
    </row>
    <row r="10" spans="2:9">
      <c r="B10" s="27" t="s">
        <v>103</v>
      </c>
      <c r="C10" s="28" t="s">
        <v>69</v>
      </c>
      <c r="D10" s="28">
        <v>74</v>
      </c>
      <c r="E10" s="28" t="s">
        <v>68</v>
      </c>
      <c r="F10" s="28" t="s">
        <v>57</v>
      </c>
      <c r="G10" s="28">
        <v>77</v>
      </c>
      <c r="H10" s="28" t="s">
        <v>71</v>
      </c>
      <c r="I10" s="28">
        <f t="shared" si="0"/>
        <v>151</v>
      </c>
    </row>
    <row r="11" spans="2:9">
      <c r="B11" s="27" t="s">
        <v>104</v>
      </c>
      <c r="C11" s="28" t="s">
        <v>42</v>
      </c>
      <c r="D11" s="28" t="s">
        <v>71</v>
      </c>
      <c r="E11" s="28" t="s">
        <v>72</v>
      </c>
      <c r="F11" s="28">
        <v>81</v>
      </c>
      <c r="G11" s="28">
        <v>81</v>
      </c>
      <c r="H11" s="28" t="s">
        <v>45</v>
      </c>
      <c r="I11" s="28">
        <f t="shared" si="0"/>
        <v>162</v>
      </c>
    </row>
    <row r="12" spans="2:9">
      <c r="B12" s="27" t="s">
        <v>105</v>
      </c>
      <c r="C12" s="28">
        <v>76</v>
      </c>
      <c r="D12" s="28">
        <v>51</v>
      </c>
      <c r="E12" s="28" t="s">
        <v>74</v>
      </c>
      <c r="F12" s="28" t="s">
        <v>43</v>
      </c>
      <c r="G12" s="28" t="s">
        <v>75</v>
      </c>
      <c r="H12" s="28" t="s">
        <v>70</v>
      </c>
      <c r="I12" s="28">
        <f t="shared" si="0"/>
        <v>127</v>
      </c>
    </row>
    <row r="13" spans="2:9">
      <c r="B13" s="27" t="s">
        <v>106</v>
      </c>
      <c r="C13" s="28">
        <v>77</v>
      </c>
      <c r="D13" s="28" t="s">
        <v>76</v>
      </c>
      <c r="E13" s="28" t="s">
        <v>72</v>
      </c>
      <c r="F13" s="28" t="s">
        <v>67</v>
      </c>
      <c r="G13" s="28">
        <v>83</v>
      </c>
      <c r="H13" s="28" t="s">
        <v>44</v>
      </c>
      <c r="I13" s="28">
        <f t="shared" si="0"/>
        <v>160</v>
      </c>
    </row>
    <row r="14" spans="2:9">
      <c r="B14" s="27" t="s">
        <v>107</v>
      </c>
      <c r="C14" s="28">
        <v>69</v>
      </c>
      <c r="D14" s="28">
        <v>62</v>
      </c>
      <c r="E14" s="28" t="s">
        <v>78</v>
      </c>
      <c r="F14" s="28" t="s">
        <v>67</v>
      </c>
      <c r="G14" s="28" t="s">
        <v>75</v>
      </c>
      <c r="H14" s="28" t="s">
        <v>48</v>
      </c>
      <c r="I14" s="28">
        <f t="shared" si="0"/>
        <v>131</v>
      </c>
    </row>
    <row r="15" spans="2:9">
      <c r="B15" s="27" t="s">
        <v>108</v>
      </c>
      <c r="C15" s="28">
        <v>65</v>
      </c>
      <c r="D15" s="28" t="s">
        <v>79</v>
      </c>
      <c r="E15" s="28" t="s">
        <v>46</v>
      </c>
      <c r="F15" s="28" t="s">
        <v>70</v>
      </c>
      <c r="G15" s="28" t="s">
        <v>80</v>
      </c>
      <c r="H15" s="28" t="s">
        <v>77</v>
      </c>
      <c r="I15" s="28">
        <f t="shared" si="0"/>
        <v>65</v>
      </c>
    </row>
    <row r="16" spans="2:9">
      <c r="B16" s="27" t="s">
        <v>109</v>
      </c>
      <c r="C16" s="28">
        <v>99</v>
      </c>
      <c r="D16" s="28" t="s">
        <v>49</v>
      </c>
      <c r="E16" s="28" t="s">
        <v>51</v>
      </c>
      <c r="F16" s="28">
        <v>99</v>
      </c>
      <c r="G16" s="28" t="s">
        <v>60</v>
      </c>
      <c r="H16" s="28" t="s">
        <v>61</v>
      </c>
      <c r="I16" s="28">
        <f t="shared" si="0"/>
        <v>198</v>
      </c>
    </row>
    <row r="17" spans="2:9">
      <c r="B17" s="27" t="s">
        <v>110</v>
      </c>
      <c r="C17" s="28" t="s">
        <v>81</v>
      </c>
      <c r="D17" s="28" t="s">
        <v>82</v>
      </c>
      <c r="E17" s="28" t="s">
        <v>72</v>
      </c>
      <c r="F17" s="28">
        <v>97</v>
      </c>
      <c r="G17" s="28">
        <v>81</v>
      </c>
      <c r="H17" s="28">
        <v>91</v>
      </c>
      <c r="I17" s="28">
        <f t="shared" si="0"/>
        <v>269</v>
      </c>
    </row>
    <row r="18" spans="2:9">
      <c r="B18" s="27" t="s">
        <v>111</v>
      </c>
      <c r="C18" s="28" t="s">
        <v>78</v>
      </c>
      <c r="D18" s="28" t="s">
        <v>41</v>
      </c>
      <c r="E18" s="28" t="s">
        <v>63</v>
      </c>
      <c r="F18" s="28">
        <v>77</v>
      </c>
      <c r="G18" s="28" t="s">
        <v>83</v>
      </c>
      <c r="H18" s="28">
        <v>96</v>
      </c>
      <c r="I18" s="28">
        <f t="shared" si="0"/>
        <v>173</v>
      </c>
    </row>
    <row r="19" spans="2:9">
      <c r="B19" s="27" t="s">
        <v>112</v>
      </c>
      <c r="C19" s="28" t="s">
        <v>80</v>
      </c>
      <c r="D19" s="28">
        <v>91</v>
      </c>
      <c r="E19" s="28" t="s">
        <v>54</v>
      </c>
      <c r="F19" s="28" t="s">
        <v>49</v>
      </c>
      <c r="G19" s="28" t="s">
        <v>81</v>
      </c>
      <c r="H19" s="28" t="s">
        <v>68</v>
      </c>
      <c r="I19" s="28">
        <f t="shared" si="0"/>
        <v>91</v>
      </c>
    </row>
    <row r="20" spans="2:9">
      <c r="B20" s="27" t="s">
        <v>113</v>
      </c>
      <c r="C20" s="28" t="s">
        <v>57</v>
      </c>
      <c r="D20" s="28" t="s">
        <v>65</v>
      </c>
      <c r="E20" s="28" t="s">
        <v>58</v>
      </c>
      <c r="F20" s="28" t="s">
        <v>56</v>
      </c>
      <c r="G20" s="28" t="s">
        <v>84</v>
      </c>
      <c r="H20" s="28">
        <v>77</v>
      </c>
      <c r="I20" s="28">
        <f t="shared" si="0"/>
        <v>77</v>
      </c>
    </row>
    <row r="31" spans="2:9">
      <c r="I31" s="4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References</vt:lpstr>
      <vt:lpstr>Errors</vt:lpstr>
      <vt:lpstr>Error 1</vt:lpstr>
      <vt:lpstr>Error 2</vt:lpstr>
      <vt:lpstr>Error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2023-08-28T07:18:29Z</dcterms:created>
  <dcterms:modified xsi:type="dcterms:W3CDTF">2023-08-29T20:19:02Z</dcterms:modified>
</cp:coreProperties>
</file>