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 201] Business Data Analysis\BUSI201-Workbooks\"/>
    </mc:Choice>
  </mc:AlternateContent>
  <xr:revisionPtr revIDLastSave="0" documentId="13_ncr:1_{66E83D8C-DD9A-473A-B1A2-0DF16167BB6A}" xr6:coauthVersionLast="47" xr6:coauthVersionMax="47" xr10:uidLastSave="{00000000-0000-0000-0000-000000000000}"/>
  <bookViews>
    <workbookView xWindow="-28920" yWindow="-120" windowWidth="29040" windowHeight="15720" xr2:uid="{5DB8FA3A-2BB8-48BB-B48E-81E6580A7CFB}"/>
  </bookViews>
  <sheets>
    <sheet name="Sheet1" sheetId="8" r:id="rId1"/>
    <sheet name="Tryout" sheetId="4" r:id="rId2"/>
    <sheet name="Format" sheetId="7" r:id="rId3"/>
    <sheet name="Fonts" sheetId="1" r:id="rId4"/>
    <sheet name="Size" sheetId="3" r:id="rId5"/>
    <sheet name="2023Q3Stock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H6" i="5"/>
  <c r="H7" i="5"/>
  <c r="H8" i="5"/>
  <c r="H18" i="5" s="1"/>
  <c r="H9" i="5"/>
  <c r="H10" i="5"/>
  <c r="H11" i="5"/>
  <c r="H12" i="5"/>
  <c r="H13" i="5"/>
  <c r="H14" i="5"/>
  <c r="H15" i="5"/>
  <c r="H16" i="5"/>
</calcChain>
</file>

<file path=xl/sharedStrings.xml><?xml version="1.0" encoding="utf-8"?>
<sst xmlns="http://schemas.openxmlformats.org/spreadsheetml/2006/main" count="116" uniqueCount="84">
  <si>
    <t>2023Q4 Sales Forecast</t>
  </si>
  <si>
    <t>Calibri</t>
  </si>
  <si>
    <t>Times New Roman</t>
  </si>
  <si>
    <t>Georgia</t>
  </si>
  <si>
    <t>Arial</t>
  </si>
  <si>
    <t>MS Gothic</t>
  </si>
  <si>
    <t>Trebuchet MS</t>
  </si>
  <si>
    <t>Comic Sans MS</t>
  </si>
  <si>
    <t>Font</t>
  </si>
  <si>
    <t>Words</t>
  </si>
  <si>
    <t>Numbers</t>
  </si>
  <si>
    <t>Text Size</t>
  </si>
  <si>
    <t>Name</t>
  </si>
  <si>
    <t>Office</t>
  </si>
  <si>
    <t>Saadullah Bashir</t>
  </si>
  <si>
    <t>348 CSB</t>
  </si>
  <si>
    <t>Amanda Cleland</t>
  </si>
  <si>
    <t>257 CSB</t>
  </si>
  <si>
    <t>Michael Connell</t>
  </si>
  <si>
    <t>258 CSB</t>
  </si>
  <si>
    <t>Richard Johnston</t>
  </si>
  <si>
    <t>248 CSB</t>
  </si>
  <si>
    <t>Tom Prince</t>
  </si>
  <si>
    <t>259 CSB</t>
  </si>
  <si>
    <t>Herb Schmidt</t>
  </si>
  <si>
    <t>Brian Park</t>
  </si>
  <si>
    <t>251 CSB</t>
  </si>
  <si>
    <t>Sum</t>
  </si>
  <si>
    <t>-</t>
  </si>
  <si>
    <t>Stapler</t>
  </si>
  <si>
    <t>Office Supplies</t>
  </si>
  <si>
    <t>Amazon Basics</t>
  </si>
  <si>
    <t>4000 Sheets</t>
  </si>
  <si>
    <t>Multipurpose Copy Printer Paper</t>
  </si>
  <si>
    <t>12 Pack</t>
  </si>
  <si>
    <t>Scotch Magic Tape</t>
  </si>
  <si>
    <t>3M</t>
  </si>
  <si>
    <t>3x3 inch, 24 Pads</t>
  </si>
  <si>
    <t>Post-it Stikcy Notes</t>
  </si>
  <si>
    <t>120 Tissues, 8 Boxes</t>
  </si>
  <si>
    <t>Kleenex Ultra Soft Facial Tissues</t>
  </si>
  <si>
    <t>Sanitary</t>
  </si>
  <si>
    <t>Kimberly-Clark</t>
  </si>
  <si>
    <t>56 fl oz</t>
  </si>
  <si>
    <t>Liquid Hand Soap Refill</t>
  </si>
  <si>
    <t>24 Rolls</t>
  </si>
  <si>
    <t>Charmin Ultra Strong Clean Touch Toilet Paper</t>
  </si>
  <si>
    <t>P&amp;G</t>
  </si>
  <si>
    <t>8 fl oz, Pack of 4</t>
  </si>
  <si>
    <t>Purell Hand Sanitizer</t>
  </si>
  <si>
    <t>GOJO</t>
  </si>
  <si>
    <t>75 count, Pack of 3</t>
  </si>
  <si>
    <t>Disinfecting Wipes</t>
  </si>
  <si>
    <t>Clorox</t>
  </si>
  <si>
    <t>Dry Block Eraser</t>
  </si>
  <si>
    <t>Whiteboard</t>
  </si>
  <si>
    <t>Expo</t>
  </si>
  <si>
    <t>22 oz</t>
  </si>
  <si>
    <t>White Board Care Cleaning Spray</t>
  </si>
  <si>
    <t>36 Count</t>
  </si>
  <si>
    <t>Low Odor Dry Erase Markers</t>
  </si>
  <si>
    <t>Val</t>
  </si>
  <si>
    <t>Price</t>
  </si>
  <si>
    <t>Quantity</t>
  </si>
  <si>
    <t>Detail</t>
  </si>
  <si>
    <t>Item</t>
  </si>
  <si>
    <t>Type</t>
  </si>
  <si>
    <t>Make</t>
  </si>
  <si>
    <t>Items in Storage: 2023Q3</t>
  </si>
  <si>
    <t>Monmouth College Business and Economics Faculty</t>
  </si>
  <si>
    <t>Date</t>
  </si>
  <si>
    <t>m/d/yyyy</t>
  </si>
  <si>
    <t>Output</t>
  </si>
  <si>
    <t>Input</t>
  </si>
  <si>
    <t>yyyy-mm-dd</t>
  </si>
  <si>
    <t>mm/dd/yyyy</t>
  </si>
  <si>
    <t>mmm/dd/yyyy</t>
  </si>
  <si>
    <t>mmmm dd, yyyy (ddd)</t>
  </si>
  <si>
    <t>8-25-2023</t>
  </si>
  <si>
    <t>Time</t>
  </si>
  <si>
    <t>h:mm AM/PM</t>
  </si>
  <si>
    <t>5:00 PM</t>
  </si>
  <si>
    <t>hh:mm</t>
  </si>
  <si>
    <t>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</si>
</sst>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yyyy\-mm\-dd"/>
    <numFmt numFmtId="165" formatCode="mm/d/yyyy"/>
    <numFmt numFmtId="166" formatCode="mmm/dd/yyyy"/>
    <numFmt numFmtId="167" formatCode="mmmm\ dd\,\ yyyy\ \(ddd\)"/>
    <numFmt numFmtId="168" formatCode="hh:mm"/>
    <numFmt numFmtId="169" formatCode="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8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8" fontId="4" fillId="2" borderId="2" xfId="0" applyNumberFormat="1" applyFont="1" applyFill="1" applyBorder="1"/>
    <xf numFmtId="0" fontId="4" fillId="2" borderId="2" xfId="0" applyFont="1" applyFill="1" applyBorder="1"/>
    <xf numFmtId="8" fontId="4" fillId="2" borderId="0" xfId="0" applyNumberFormat="1" applyFont="1" applyFill="1"/>
    <xf numFmtId="0" fontId="4" fillId="2" borderId="0" xfId="0" applyFont="1" applyFill="1"/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18" fontId="0" fillId="2" borderId="0" xfId="0" applyNumberFormat="1" applyFill="1"/>
    <xf numFmtId="168" fontId="0" fillId="2" borderId="0" xfId="0" applyNumberFormat="1" applyFill="1"/>
    <xf numFmtId="169" fontId="0" fillId="2" borderId="2" xfId="0" applyNumberFormat="1" applyFill="1" applyBorder="1"/>
    <xf numFmtId="0" fontId="0" fillId="2" borderId="2" xfId="0" applyFill="1" applyBorder="1"/>
    <xf numFmtId="14" fontId="0" fillId="2" borderId="5" xfId="0" applyNumberFormat="1" applyFill="1" applyBorder="1"/>
    <xf numFmtId="0" fontId="0" fillId="2" borderId="5" xfId="0" applyFill="1" applyBorder="1"/>
    <xf numFmtId="165" fontId="0" fillId="2" borderId="0" xfId="0" applyNumberFormat="1" applyFill="1"/>
    <xf numFmtId="166" fontId="0" fillId="2" borderId="0" xfId="0" applyNumberFormat="1" applyFill="1"/>
    <xf numFmtId="167" fontId="0" fillId="2" borderId="0" xfId="0" applyNumberFormat="1" applyFill="1"/>
    <xf numFmtId="164" fontId="0" fillId="2" borderId="6" xfId="0" applyNumberFormat="1" applyFill="1" applyBorder="1"/>
    <xf numFmtId="0" fontId="0" fillId="2" borderId="6" xfId="0" applyFill="1" applyBorder="1"/>
    <xf numFmtId="0" fontId="1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quotePrefix="1" applyFill="1" applyBorder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6" xfId="0" quotePrefix="1" applyFill="1" applyBorder="1" applyAlignment="1">
      <alignment horizontal="center" vertical="center"/>
    </xf>
    <xf numFmtId="18" fontId="0" fillId="2" borderId="0" xfId="0" quotePrefix="1" applyNumberFormat="1" applyFill="1" applyAlignment="1">
      <alignment horizontal="center" vertical="center"/>
    </xf>
    <xf numFmtId="18" fontId="0" fillId="2" borderId="2" xfId="0" quotePrefix="1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42C2-2385-45AC-A116-62D00A9D42F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55F5-8F45-4ED3-ADD9-0F056117FF00}">
  <dimension ref="B2:C10"/>
  <sheetViews>
    <sheetView workbookViewId="0">
      <selection activeCell="E16" sqref="E16"/>
    </sheetView>
  </sheetViews>
  <sheetFormatPr defaultRowHeight="14.4" x14ac:dyDescent="0.3"/>
  <cols>
    <col min="1" max="1" width="8.88671875" style="1"/>
    <col min="2" max="3" width="8.88671875" style="1" customWidth="1"/>
    <col min="4" max="16384" width="8.88671875" style="1"/>
  </cols>
  <sheetData>
    <row r="2" spans="2:3" ht="14.4" customHeight="1" x14ac:dyDescent="0.3">
      <c r="B2" s="1" t="s">
        <v>69</v>
      </c>
    </row>
    <row r="3" spans="2:3" ht="14.4" customHeight="1" x14ac:dyDescent="0.3">
      <c r="B3" s="5" t="s">
        <v>12</v>
      </c>
      <c r="C3" s="5" t="s">
        <v>13</v>
      </c>
    </row>
    <row r="4" spans="2:3" ht="14.4" customHeight="1" x14ac:dyDescent="0.3">
      <c r="B4" s="4" t="s">
        <v>14</v>
      </c>
      <c r="C4" s="4" t="s">
        <v>15</v>
      </c>
    </row>
    <row r="5" spans="2:3" ht="14.4" customHeight="1" x14ac:dyDescent="0.3">
      <c r="B5" s="4" t="s">
        <v>16</v>
      </c>
      <c r="C5" s="4" t="s">
        <v>17</v>
      </c>
    </row>
    <row r="6" spans="2:3" ht="14.4" customHeight="1" x14ac:dyDescent="0.3">
      <c r="B6" s="4" t="s">
        <v>18</v>
      </c>
      <c r="C6" s="4" t="s">
        <v>19</v>
      </c>
    </row>
    <row r="7" spans="2:3" ht="14.4" customHeight="1" x14ac:dyDescent="0.3">
      <c r="B7" s="4" t="s">
        <v>20</v>
      </c>
      <c r="C7" s="4" t="s">
        <v>21</v>
      </c>
    </row>
    <row r="8" spans="2:3" ht="14.4" customHeight="1" x14ac:dyDescent="0.3">
      <c r="B8" s="4" t="s">
        <v>22</v>
      </c>
      <c r="C8" s="4" t="s">
        <v>23</v>
      </c>
    </row>
    <row r="9" spans="2:3" ht="14.4" customHeight="1" x14ac:dyDescent="0.3">
      <c r="B9" s="4" t="s">
        <v>24</v>
      </c>
      <c r="C9" s="4" t="s">
        <v>26</v>
      </c>
    </row>
    <row r="10" spans="2:3" ht="14.4" customHeight="1" x14ac:dyDescent="0.3">
      <c r="B10" s="4" t="s">
        <v>25</v>
      </c>
      <c r="C10" s="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F1BF-1DF3-4A6D-8C49-5B121B741999}">
  <dimension ref="B2:E10"/>
  <sheetViews>
    <sheetView workbookViewId="0"/>
  </sheetViews>
  <sheetFormatPr defaultRowHeight="14.4" x14ac:dyDescent="0.3"/>
  <cols>
    <col min="1" max="2" width="8.88671875" style="1"/>
    <col min="3" max="3" width="9.33203125" style="1" bestFit="1" customWidth="1"/>
    <col min="4" max="4" width="17.5546875" style="1" bestFit="1" customWidth="1"/>
    <col min="5" max="5" width="18.88671875" style="1" bestFit="1" customWidth="1"/>
    <col min="6" max="16384" width="8.88671875" style="1"/>
  </cols>
  <sheetData>
    <row r="2" spans="2:5" ht="15" thickBot="1" x14ac:dyDescent="0.35">
      <c r="B2" s="26"/>
      <c r="C2" s="26" t="s">
        <v>73</v>
      </c>
      <c r="D2" s="26" t="s">
        <v>72</v>
      </c>
      <c r="E2" s="26" t="s">
        <v>64</v>
      </c>
    </row>
    <row r="3" spans="2:5" ht="15" thickTop="1" x14ac:dyDescent="0.3">
      <c r="B3" s="27" t="s">
        <v>70</v>
      </c>
      <c r="C3" s="30" t="s">
        <v>78</v>
      </c>
      <c r="D3" s="19">
        <v>45163</v>
      </c>
      <c r="E3" s="20" t="s">
        <v>71</v>
      </c>
    </row>
    <row r="4" spans="2:5" x14ac:dyDescent="0.3">
      <c r="B4" s="28"/>
      <c r="C4" s="31"/>
      <c r="D4" s="21">
        <v>45163</v>
      </c>
      <c r="E4" s="1" t="s">
        <v>75</v>
      </c>
    </row>
    <row r="5" spans="2:5" x14ac:dyDescent="0.3">
      <c r="B5" s="28"/>
      <c r="C5" s="31"/>
      <c r="D5" s="22">
        <v>45163</v>
      </c>
      <c r="E5" s="1" t="s">
        <v>76</v>
      </c>
    </row>
    <row r="6" spans="2:5" x14ac:dyDescent="0.3">
      <c r="B6" s="28"/>
      <c r="C6" s="31"/>
      <c r="D6" s="23">
        <v>45163</v>
      </c>
      <c r="E6" s="1" t="s">
        <v>77</v>
      </c>
    </row>
    <row r="7" spans="2:5" x14ac:dyDescent="0.3">
      <c r="B7" s="29"/>
      <c r="C7" s="32"/>
      <c r="D7" s="24">
        <v>45163</v>
      </c>
      <c r="E7" s="25" t="s">
        <v>74</v>
      </c>
    </row>
    <row r="8" spans="2:5" x14ac:dyDescent="0.3">
      <c r="B8" s="28" t="s">
        <v>79</v>
      </c>
      <c r="C8" s="33" t="s">
        <v>81</v>
      </c>
      <c r="D8" s="15">
        <v>0.70833333333333337</v>
      </c>
      <c r="E8" s="1" t="s">
        <v>80</v>
      </c>
    </row>
    <row r="9" spans="2:5" x14ac:dyDescent="0.3">
      <c r="B9" s="28"/>
      <c r="C9" s="33"/>
      <c r="D9" s="16">
        <v>0.70833333333333337</v>
      </c>
      <c r="E9" s="1" t="s">
        <v>82</v>
      </c>
    </row>
    <row r="10" spans="2:5" x14ac:dyDescent="0.3">
      <c r="B10" s="35"/>
      <c r="C10" s="34"/>
      <c r="D10" s="17">
        <v>0.70833333333333337</v>
      </c>
      <c r="E10" s="18" t="s">
        <v>83</v>
      </c>
    </row>
  </sheetData>
  <mergeCells count="4">
    <mergeCell ref="B3:B7"/>
    <mergeCell ref="C3:C7"/>
    <mergeCell ref="C8:C10"/>
    <mergeCell ref="B8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0560-D242-42D4-912C-8CA0BD67F656}">
  <dimension ref="B2:D9"/>
  <sheetViews>
    <sheetView workbookViewId="0"/>
  </sheetViews>
  <sheetFormatPr defaultRowHeight="14.4" x14ac:dyDescent="0.3"/>
  <cols>
    <col min="1" max="1" width="2.77734375" style="1" customWidth="1"/>
    <col min="2" max="2" width="17.21875" style="1" bestFit="1" customWidth="1"/>
    <col min="3" max="3" width="20" style="1" bestFit="1" customWidth="1"/>
    <col min="4" max="4" width="11" style="1" bestFit="1" customWidth="1"/>
    <col min="5" max="16384" width="8.88671875" style="1"/>
  </cols>
  <sheetData>
    <row r="2" spans="2:4" ht="19.95" customHeight="1" thickBot="1" x14ac:dyDescent="0.35">
      <c r="B2" s="3" t="s">
        <v>8</v>
      </c>
      <c r="C2" s="3" t="s">
        <v>9</v>
      </c>
      <c r="D2" s="3" t="s">
        <v>10</v>
      </c>
    </row>
    <row r="3" spans="2:4" ht="19.95" customHeight="1" thickTop="1" x14ac:dyDescent="0.3">
      <c r="B3" s="2" t="s">
        <v>1</v>
      </c>
      <c r="C3" s="2" t="s">
        <v>0</v>
      </c>
      <c r="D3" s="2">
        <v>1234567890</v>
      </c>
    </row>
    <row r="4" spans="2:4" ht="19.95" customHeight="1" x14ac:dyDescent="0.3">
      <c r="B4" s="14" t="s">
        <v>2</v>
      </c>
      <c r="C4" s="14" t="s">
        <v>0</v>
      </c>
      <c r="D4" s="14">
        <v>1234567890</v>
      </c>
    </row>
    <row r="5" spans="2:4" ht="19.95" customHeight="1" x14ac:dyDescent="0.3">
      <c r="B5" s="14" t="s">
        <v>3</v>
      </c>
      <c r="C5" s="14" t="s">
        <v>0</v>
      </c>
      <c r="D5" s="14">
        <v>1234567890</v>
      </c>
    </row>
    <row r="6" spans="2:4" ht="19.95" customHeight="1" x14ac:dyDescent="0.3">
      <c r="B6" s="14" t="s">
        <v>7</v>
      </c>
      <c r="C6" s="14" t="s">
        <v>0</v>
      </c>
      <c r="D6" s="14">
        <v>1234567890</v>
      </c>
    </row>
    <row r="7" spans="2:4" ht="19.95" customHeight="1" x14ac:dyDescent="0.3">
      <c r="B7" s="14" t="s">
        <v>4</v>
      </c>
      <c r="C7" s="14" t="s">
        <v>0</v>
      </c>
      <c r="D7" s="14">
        <v>1234567890</v>
      </c>
    </row>
    <row r="8" spans="2:4" ht="19.95" customHeight="1" x14ac:dyDescent="0.3">
      <c r="B8" s="14" t="s">
        <v>5</v>
      </c>
      <c r="C8" s="14" t="s">
        <v>0</v>
      </c>
      <c r="D8" s="14">
        <v>1234567890</v>
      </c>
    </row>
    <row r="9" spans="2:4" ht="19.95" customHeight="1" x14ac:dyDescent="0.3">
      <c r="B9" s="14" t="s">
        <v>6</v>
      </c>
      <c r="C9" s="14" t="s">
        <v>0</v>
      </c>
      <c r="D9" s="14">
        <v>1234567890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FA5B-4D4C-4232-A3F5-CC1058C584FD}">
  <dimension ref="B2:D9"/>
  <sheetViews>
    <sheetView workbookViewId="0">
      <selection activeCell="C7" sqref="C7"/>
    </sheetView>
  </sheetViews>
  <sheetFormatPr defaultRowHeight="14.4" x14ac:dyDescent="0.3"/>
  <cols>
    <col min="1" max="1" width="2.77734375" style="1" customWidth="1"/>
    <col min="2" max="2" width="17.21875" style="1" bestFit="1" customWidth="1"/>
    <col min="3" max="3" width="39.88671875" style="1" bestFit="1" customWidth="1"/>
    <col min="4" max="4" width="22.88671875" style="1" bestFit="1" customWidth="1"/>
    <col min="5" max="16384" width="8.88671875" style="1"/>
  </cols>
  <sheetData>
    <row r="2" spans="2:4" ht="19.95" customHeight="1" thickBot="1" x14ac:dyDescent="0.35">
      <c r="B2" s="3" t="s">
        <v>11</v>
      </c>
      <c r="C2" s="3" t="s">
        <v>9</v>
      </c>
      <c r="D2" s="3" t="s">
        <v>10</v>
      </c>
    </row>
    <row r="3" spans="2:4" ht="19.95" customHeight="1" thickTop="1" x14ac:dyDescent="0.3">
      <c r="B3" s="2">
        <v>11</v>
      </c>
      <c r="C3" s="2" t="s">
        <v>0</v>
      </c>
      <c r="D3" s="2">
        <v>1234567890</v>
      </c>
    </row>
    <row r="4" spans="2:4" ht="19.95" customHeight="1" x14ac:dyDescent="0.3">
      <c r="B4" s="14">
        <v>12</v>
      </c>
      <c r="C4" s="14" t="s">
        <v>0</v>
      </c>
      <c r="D4" s="14">
        <v>1234567890</v>
      </c>
    </row>
    <row r="5" spans="2:4" ht="19.95" customHeight="1" x14ac:dyDescent="0.3">
      <c r="B5" s="14">
        <v>14</v>
      </c>
      <c r="C5" s="14" t="s">
        <v>0</v>
      </c>
      <c r="D5" s="14">
        <v>1234567890</v>
      </c>
    </row>
    <row r="6" spans="2:4" ht="19.95" customHeight="1" x14ac:dyDescent="0.3">
      <c r="B6" s="14">
        <v>16</v>
      </c>
      <c r="C6" s="14" t="s">
        <v>0</v>
      </c>
      <c r="D6" s="14">
        <v>1234567890</v>
      </c>
    </row>
    <row r="7" spans="2:4" ht="19.95" customHeight="1" x14ac:dyDescent="0.3">
      <c r="B7" s="14">
        <v>18</v>
      </c>
      <c r="C7" s="14" t="s">
        <v>0</v>
      </c>
      <c r="D7" s="14">
        <v>1234567890</v>
      </c>
    </row>
    <row r="8" spans="2:4" ht="19.95" customHeight="1" x14ac:dyDescent="0.3">
      <c r="B8" s="14">
        <v>20</v>
      </c>
      <c r="C8" s="14" t="s">
        <v>0</v>
      </c>
      <c r="D8" s="14">
        <v>1234567890</v>
      </c>
    </row>
    <row r="9" spans="2:4" ht="19.95" customHeight="1" x14ac:dyDescent="0.3">
      <c r="B9" s="14">
        <v>22</v>
      </c>
      <c r="C9" s="14" t="s">
        <v>0</v>
      </c>
      <c r="D9" s="14">
        <v>1234567890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E5A1-7A8D-400E-B8CB-EA4440DD02BE}">
  <dimension ref="B2:H18"/>
  <sheetViews>
    <sheetView workbookViewId="0">
      <selection activeCell="L15" sqref="L15"/>
    </sheetView>
  </sheetViews>
  <sheetFormatPr defaultRowHeight="14.4" x14ac:dyDescent="0.3"/>
  <cols>
    <col min="1" max="1" width="8.88671875" style="1"/>
    <col min="2" max="3" width="14.77734375" style="1" bestFit="1" customWidth="1"/>
    <col min="4" max="4" width="32.33203125" style="1" bestFit="1" customWidth="1"/>
    <col min="5" max="5" width="18.6640625" style="1" bestFit="1" customWidth="1"/>
    <col min="6" max="8" width="10.77734375" style="1" customWidth="1"/>
    <col min="9" max="16384" width="8.88671875" style="1"/>
  </cols>
  <sheetData>
    <row r="2" spans="2:8" ht="23.4" x14ac:dyDescent="0.3">
      <c r="B2" s="36" t="s">
        <v>68</v>
      </c>
      <c r="C2" s="36"/>
      <c r="D2" s="36"/>
      <c r="E2" s="36"/>
      <c r="F2" s="36"/>
      <c r="G2" s="36"/>
      <c r="H2" s="36"/>
    </row>
    <row r="4" spans="2:8" ht="15.6" x14ac:dyDescent="0.3">
      <c r="B4" s="13" t="s">
        <v>67</v>
      </c>
      <c r="C4" s="13" t="s">
        <v>66</v>
      </c>
      <c r="D4" s="13" t="s">
        <v>65</v>
      </c>
      <c r="E4" s="13" t="s">
        <v>64</v>
      </c>
      <c r="F4" s="12" t="s">
        <v>63</v>
      </c>
      <c r="G4" s="12" t="s">
        <v>62</v>
      </c>
      <c r="H4" s="12" t="s">
        <v>61</v>
      </c>
    </row>
    <row r="5" spans="2:8" ht="15.6" x14ac:dyDescent="0.3">
      <c r="B5" s="11" t="s">
        <v>56</v>
      </c>
      <c r="C5" s="11" t="s">
        <v>55</v>
      </c>
      <c r="D5" s="11" t="s">
        <v>60</v>
      </c>
      <c r="E5" s="11" t="s">
        <v>59</v>
      </c>
      <c r="F5" s="11">
        <v>23</v>
      </c>
      <c r="G5" s="10">
        <v>23.12</v>
      </c>
      <c r="H5" s="10">
        <f t="shared" ref="H5:H16" si="0">F5*G5</f>
        <v>531.76</v>
      </c>
    </row>
    <row r="6" spans="2:8" ht="15.6" x14ac:dyDescent="0.3">
      <c r="B6" s="11" t="s">
        <v>56</v>
      </c>
      <c r="C6" s="11" t="s">
        <v>55</v>
      </c>
      <c r="D6" s="11" t="s">
        <v>58</v>
      </c>
      <c r="E6" s="11" t="s">
        <v>57</v>
      </c>
      <c r="F6" s="11">
        <v>17</v>
      </c>
      <c r="G6" s="10">
        <v>16.78</v>
      </c>
      <c r="H6" s="10">
        <f t="shared" si="0"/>
        <v>285.26</v>
      </c>
    </row>
    <row r="7" spans="2:8" ht="15.6" x14ac:dyDescent="0.3">
      <c r="B7" s="11" t="s">
        <v>56</v>
      </c>
      <c r="C7" s="11" t="s">
        <v>55</v>
      </c>
      <c r="D7" s="11" t="s">
        <v>54</v>
      </c>
      <c r="E7" s="11" t="s">
        <v>28</v>
      </c>
      <c r="F7" s="11">
        <v>59</v>
      </c>
      <c r="G7" s="10">
        <v>5.23</v>
      </c>
      <c r="H7" s="10">
        <f t="shared" si="0"/>
        <v>308.57000000000005</v>
      </c>
    </row>
    <row r="8" spans="2:8" ht="15.6" x14ac:dyDescent="0.3">
      <c r="B8" s="11" t="s">
        <v>53</v>
      </c>
      <c r="C8" s="11" t="s">
        <v>41</v>
      </c>
      <c r="D8" s="11" t="s">
        <v>52</v>
      </c>
      <c r="E8" s="11" t="s">
        <v>51</v>
      </c>
      <c r="F8" s="11">
        <v>8</v>
      </c>
      <c r="G8" s="10">
        <v>12.78</v>
      </c>
      <c r="H8" s="10">
        <f t="shared" si="0"/>
        <v>102.24</v>
      </c>
    </row>
    <row r="9" spans="2:8" ht="15.6" x14ac:dyDescent="0.3">
      <c r="B9" s="11" t="s">
        <v>50</v>
      </c>
      <c r="C9" s="11" t="s">
        <v>41</v>
      </c>
      <c r="D9" s="11" t="s">
        <v>49</v>
      </c>
      <c r="E9" s="11" t="s">
        <v>48</v>
      </c>
      <c r="F9" s="11">
        <v>8</v>
      </c>
      <c r="G9" s="10">
        <v>19.989999999999998</v>
      </c>
      <c r="H9" s="10">
        <f t="shared" si="0"/>
        <v>159.91999999999999</v>
      </c>
    </row>
    <row r="10" spans="2:8" ht="15.6" x14ac:dyDescent="0.3">
      <c r="B10" s="11" t="s">
        <v>47</v>
      </c>
      <c r="C10" s="11" t="s">
        <v>41</v>
      </c>
      <c r="D10" s="11" t="s">
        <v>46</v>
      </c>
      <c r="E10" s="11" t="s">
        <v>45</v>
      </c>
      <c r="F10" s="11">
        <v>4</v>
      </c>
      <c r="G10" s="10">
        <v>33.72</v>
      </c>
      <c r="H10" s="10">
        <f t="shared" si="0"/>
        <v>134.88</v>
      </c>
    </row>
    <row r="11" spans="2:8" ht="15.6" x14ac:dyDescent="0.3">
      <c r="B11" s="11" t="s">
        <v>31</v>
      </c>
      <c r="C11" s="11" t="s">
        <v>41</v>
      </c>
      <c r="D11" s="11" t="s">
        <v>44</v>
      </c>
      <c r="E11" s="11" t="s">
        <v>43</v>
      </c>
      <c r="F11" s="11">
        <v>9</v>
      </c>
      <c r="G11" s="10">
        <v>5.36</v>
      </c>
      <c r="H11" s="10">
        <f t="shared" si="0"/>
        <v>48.24</v>
      </c>
    </row>
    <row r="12" spans="2:8" ht="15.6" x14ac:dyDescent="0.3">
      <c r="B12" s="11" t="s">
        <v>42</v>
      </c>
      <c r="C12" s="11" t="s">
        <v>41</v>
      </c>
      <c r="D12" s="11" t="s">
        <v>40</v>
      </c>
      <c r="E12" s="11" t="s">
        <v>39</v>
      </c>
      <c r="F12" s="11">
        <v>3</v>
      </c>
      <c r="G12" s="10">
        <v>17.190000000000001</v>
      </c>
      <c r="H12" s="10">
        <f t="shared" si="0"/>
        <v>51.570000000000007</v>
      </c>
    </row>
    <row r="13" spans="2:8" ht="15.6" x14ac:dyDescent="0.3">
      <c r="B13" s="11" t="s">
        <v>36</v>
      </c>
      <c r="C13" s="11" t="s">
        <v>30</v>
      </c>
      <c r="D13" s="11" t="s">
        <v>38</v>
      </c>
      <c r="E13" s="11" t="s">
        <v>37</v>
      </c>
      <c r="F13" s="11">
        <v>12</v>
      </c>
      <c r="G13" s="10">
        <v>20.59</v>
      </c>
      <c r="H13" s="10">
        <f t="shared" si="0"/>
        <v>247.07999999999998</v>
      </c>
    </row>
    <row r="14" spans="2:8" ht="15.6" x14ac:dyDescent="0.3">
      <c r="B14" s="11" t="s">
        <v>36</v>
      </c>
      <c r="C14" s="11" t="s">
        <v>30</v>
      </c>
      <c r="D14" s="11" t="s">
        <v>35</v>
      </c>
      <c r="E14" s="11" t="s">
        <v>34</v>
      </c>
      <c r="F14" s="11">
        <v>7</v>
      </c>
      <c r="G14" s="10">
        <v>24.49</v>
      </c>
      <c r="H14" s="10">
        <f t="shared" si="0"/>
        <v>171.42999999999998</v>
      </c>
    </row>
    <row r="15" spans="2:8" ht="15.6" x14ac:dyDescent="0.3">
      <c r="B15" s="11" t="s">
        <v>31</v>
      </c>
      <c r="C15" s="11" t="s">
        <v>30</v>
      </c>
      <c r="D15" s="11" t="s">
        <v>33</v>
      </c>
      <c r="E15" s="11" t="s">
        <v>32</v>
      </c>
      <c r="F15" s="11">
        <v>34</v>
      </c>
      <c r="G15" s="10">
        <v>39.99</v>
      </c>
      <c r="H15" s="10">
        <f t="shared" si="0"/>
        <v>1359.66</v>
      </c>
    </row>
    <row r="16" spans="2:8" ht="15.6" x14ac:dyDescent="0.3">
      <c r="B16" s="9" t="s">
        <v>31</v>
      </c>
      <c r="C16" s="9" t="s">
        <v>30</v>
      </c>
      <c r="D16" s="9" t="s">
        <v>29</v>
      </c>
      <c r="E16" s="9" t="s">
        <v>28</v>
      </c>
      <c r="F16" s="9">
        <v>11</v>
      </c>
      <c r="G16" s="8">
        <v>9.02</v>
      </c>
      <c r="H16" s="8">
        <f t="shared" si="0"/>
        <v>99.22</v>
      </c>
    </row>
    <row r="18" spans="7:8" ht="15.6" x14ac:dyDescent="0.3">
      <c r="G18" s="7" t="s">
        <v>27</v>
      </c>
      <c r="H18" s="6">
        <f>SUM(H5:H16)</f>
        <v>3499.83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Tryout</vt:lpstr>
      <vt:lpstr>Format</vt:lpstr>
      <vt:lpstr>Fonts</vt:lpstr>
      <vt:lpstr>Size</vt:lpstr>
      <vt:lpstr>2023Q3Stock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2023-08-21T19:23:45Z</dcterms:created>
  <dcterms:modified xsi:type="dcterms:W3CDTF">2023-08-25T01:17:53Z</dcterms:modified>
</cp:coreProperties>
</file>